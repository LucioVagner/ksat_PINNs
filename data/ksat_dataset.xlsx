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outorado\Tese\Qualificação\Dados Atualizados\"/>
    </mc:Choice>
  </mc:AlternateContent>
  <bookViews>
    <workbookView xWindow="0" yWindow="0" windowWidth="20490" windowHeight="7755"/>
  </bookViews>
  <sheets>
    <sheet name="Dados" sheetId="1" r:id="rId1"/>
    <sheet name="Estatísticas" sheetId="2" r:id="rId2"/>
    <sheet name="PTFs" sheetId="3" r:id="rId3"/>
  </sheets>
  <definedNames>
    <definedName name="Estatísticas_dos_Dados_1" localSheetId="1">Estatísticas!$A$2:$I$17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3" l="1"/>
  <c r="K7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" i="3"/>
  <c r="C5" i="3"/>
  <c r="C6" i="3"/>
  <c r="C7" i="3"/>
  <c r="C8" i="3"/>
  <c r="C9" i="3"/>
  <c r="C10" i="3"/>
  <c r="C11" i="3"/>
  <c r="C12" i="3"/>
  <c r="J3" i="1" l="1"/>
  <c r="F3" i="3" l="1"/>
  <c r="C3" i="3"/>
</calcChain>
</file>

<file path=xl/connections.xml><?xml version="1.0" encoding="utf-8"?>
<connections xmlns="http://schemas.openxmlformats.org/spreadsheetml/2006/main">
  <connection id="1" name="Estatísticas_dos_Dados1" type="6" refreshedVersion="5" background="1" saveData="1">
    <textPr codePage="65001" sourceFile="C:\Users\User\Desktop\Doutorado\Tese\Projeto de Tese\Estatísticas_dos_Dados.txt" delimited="0" decimal="," thousands=".">
      <textFields count="9">
        <textField/>
        <textField position="30"/>
        <textField position="41"/>
        <textField position="50"/>
        <textField position="59"/>
        <textField position="75"/>
        <textField position="87"/>
        <textField position="99"/>
        <textField position="109"/>
      </textFields>
    </textPr>
  </connection>
</connections>
</file>

<file path=xl/sharedStrings.xml><?xml version="1.0" encoding="utf-8"?>
<sst xmlns="http://schemas.openxmlformats.org/spreadsheetml/2006/main" count="1988" uniqueCount="62">
  <si>
    <t>Fonte dos dados</t>
  </si>
  <si>
    <t>Ponto</t>
  </si>
  <si>
    <t>Clima</t>
  </si>
  <si>
    <t>Prof. (cm)</t>
  </si>
  <si>
    <t>Densidade do solo (g/cm³)</t>
  </si>
  <si>
    <t>Densidade de particula (g/cm³)</t>
  </si>
  <si>
    <t>Porosidade Total (cm3/cm3)</t>
  </si>
  <si>
    <t>Porosidade Efetiva (cm3/cm3)</t>
  </si>
  <si>
    <t>Macroporosidade (cm3/cm3)</t>
  </si>
  <si>
    <t>Microporosidade (cm3/cm3)</t>
  </si>
  <si>
    <t>Teor de carbono orgânico (%)</t>
  </si>
  <si>
    <t>Teor de Matéria Organica (%)</t>
  </si>
  <si>
    <t xml:space="preserve">Ksat (cm/dia) </t>
  </si>
  <si>
    <t>X</t>
  </si>
  <si>
    <t>Y</t>
  </si>
  <si>
    <t>Areia</t>
  </si>
  <si>
    <t>Silte</t>
  </si>
  <si>
    <t>Argila</t>
  </si>
  <si>
    <t>Miguel - Sanga Ellert</t>
  </si>
  <si>
    <t>Subtropical</t>
  </si>
  <si>
    <t>0-20</t>
  </si>
  <si>
    <t>(Dongli et al., 2017) Bacia Pelotas</t>
  </si>
  <si>
    <t>Luana - Bacia Fragata</t>
  </si>
  <si>
    <t>Umuarama</t>
  </si>
  <si>
    <t>3–8</t>
  </si>
  <si>
    <t>13–18</t>
  </si>
  <si>
    <t>23–28</t>
  </si>
  <si>
    <t>33–38</t>
  </si>
  <si>
    <t>Tres Passos</t>
  </si>
  <si>
    <t>0-7</t>
  </si>
  <si>
    <t>7-14</t>
  </si>
  <si>
    <t>7-15</t>
  </si>
  <si>
    <t>7-16</t>
  </si>
  <si>
    <t>7-17</t>
  </si>
  <si>
    <t>7-18</t>
  </si>
  <si>
    <t>7-19</t>
  </si>
  <si>
    <t>7-20</t>
  </si>
  <si>
    <t>Rejeita normalidade</t>
  </si>
  <si>
    <t>θ1500</t>
  </si>
  <si>
    <t>θ33</t>
  </si>
  <si>
    <t>θ10</t>
  </si>
  <si>
    <t>Ksat (cm/dia)</t>
  </si>
  <si>
    <t>Não rejeita normalidade</t>
  </si>
  <si>
    <t>Teste de Normalidade</t>
  </si>
  <si>
    <t>Curtose</t>
  </si>
  <si>
    <t xml:space="preserve">Assimetria </t>
  </si>
  <si>
    <t xml:space="preserve"> CV (%)</t>
  </si>
  <si>
    <t>Desvio Padrão</t>
  </si>
  <si>
    <t>Variância</t>
  </si>
  <si>
    <t>Mediana</t>
  </si>
  <si>
    <t xml:space="preserve"> Média</t>
  </si>
  <si>
    <t>Amplitude</t>
  </si>
  <si>
    <t>Campo nativo</t>
  </si>
  <si>
    <t>Mata nativa</t>
  </si>
  <si>
    <t>Silvicultura</t>
  </si>
  <si>
    <t>Cultivo Anual</t>
  </si>
  <si>
    <t>Pastagem Cultivada</t>
  </si>
  <si>
    <t>Cultivo Permanente</t>
  </si>
  <si>
    <t>Tipo de uso do solo</t>
  </si>
  <si>
    <t>WMssc</t>
  </si>
  <si>
    <t>Ksat</t>
  </si>
  <si>
    <t>WMsscbd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</si>
</sst>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6" xfId="0" applyFont="1" applyBorder="1"/>
    <xf numFmtId="0" fontId="0" fillId="0" borderId="0" xfId="0" applyAlignment="1">
      <alignment horizontal="center"/>
    </xf>
    <xf numFmtId="0" fontId="1" fillId="0" borderId="0" xfId="0" applyFont="1"/>
    <xf numFmtId="0" fontId="1" fillId="0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2" fontId="0" fillId="0" borderId="0" xfId="0" applyNumberFormat="1"/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161925</xdr:rowOff>
    </xdr:from>
    <xdr:ext cx="5760731" cy="4297689"/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00425"/>
          <a:ext cx="5760731" cy="429768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152400</xdr:rowOff>
    </xdr:from>
    <xdr:ext cx="5760731" cy="4297689"/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62900"/>
          <a:ext cx="5760731" cy="429768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38100</xdr:rowOff>
    </xdr:from>
    <xdr:ext cx="5760731" cy="4297689"/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20600"/>
          <a:ext cx="5760731" cy="4297689"/>
        </a:xfrm>
        <a:prstGeom prst="rect">
          <a:avLst/>
        </a:prstGeom>
      </xdr:spPr>
    </xdr:pic>
    <xdr:clientData/>
  </xdr:oneCellAnchor>
  <xdr:oneCellAnchor>
    <xdr:from>
      <xdr:col>6</xdr:col>
      <xdr:colOff>571500</xdr:colOff>
      <xdr:row>19</xdr:row>
      <xdr:rowOff>19050</xdr:rowOff>
    </xdr:from>
    <xdr:ext cx="5751587" cy="4297689"/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3638550"/>
          <a:ext cx="5751587" cy="4297689"/>
        </a:xfrm>
        <a:prstGeom prst="rect">
          <a:avLst/>
        </a:prstGeom>
      </xdr:spPr>
    </xdr:pic>
    <xdr:clientData/>
  </xdr:oneCellAnchor>
  <xdr:oneCellAnchor>
    <xdr:from>
      <xdr:col>6</xdr:col>
      <xdr:colOff>552450</xdr:colOff>
      <xdr:row>40</xdr:row>
      <xdr:rowOff>47625</xdr:rowOff>
    </xdr:from>
    <xdr:ext cx="5760731" cy="4297689"/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7667625"/>
          <a:ext cx="5760731" cy="4297689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67</xdr:row>
      <xdr:rowOff>0</xdr:rowOff>
    </xdr:from>
    <xdr:ext cx="5760731" cy="4297689"/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2763500"/>
          <a:ext cx="5760731" cy="4297689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21</xdr:row>
      <xdr:rowOff>0</xdr:rowOff>
    </xdr:from>
    <xdr:ext cx="5760731" cy="4297689"/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4000500"/>
          <a:ext cx="5760731" cy="4297689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46</xdr:row>
      <xdr:rowOff>0</xdr:rowOff>
    </xdr:from>
    <xdr:ext cx="5760731" cy="4297689"/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8763000"/>
          <a:ext cx="5760731" cy="4297689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71</xdr:row>
      <xdr:rowOff>0</xdr:rowOff>
    </xdr:from>
    <xdr:ext cx="5760731" cy="4297689"/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13525500"/>
          <a:ext cx="5760731" cy="4297689"/>
        </a:xfrm>
        <a:prstGeom prst="rect">
          <a:avLst/>
        </a:prstGeom>
      </xdr:spPr>
    </xdr:pic>
    <xdr:clientData/>
  </xdr:oneCellAnchor>
  <xdr:oneCellAnchor>
    <xdr:from>
      <xdr:col>28</xdr:col>
      <xdr:colOff>0</xdr:colOff>
      <xdr:row>22</xdr:row>
      <xdr:rowOff>0</xdr:rowOff>
    </xdr:from>
    <xdr:ext cx="5760731" cy="4297689"/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8800" y="4191000"/>
          <a:ext cx="5760731" cy="4297689"/>
        </a:xfrm>
        <a:prstGeom prst="rect">
          <a:avLst/>
        </a:prstGeom>
      </xdr:spPr>
    </xdr:pic>
    <xdr:clientData/>
  </xdr:oneCellAnchor>
  <xdr:oneCellAnchor>
    <xdr:from>
      <xdr:col>29</xdr:col>
      <xdr:colOff>0</xdr:colOff>
      <xdr:row>48</xdr:row>
      <xdr:rowOff>0</xdr:rowOff>
    </xdr:from>
    <xdr:ext cx="5760731" cy="4297689"/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0" y="9144000"/>
          <a:ext cx="5760731" cy="4297689"/>
        </a:xfrm>
        <a:prstGeom prst="rect">
          <a:avLst/>
        </a:prstGeom>
      </xdr:spPr>
    </xdr:pic>
    <xdr:clientData/>
  </xdr:oneCellAnchor>
  <xdr:oneCellAnchor>
    <xdr:from>
      <xdr:col>30</xdr:col>
      <xdr:colOff>0</xdr:colOff>
      <xdr:row>73</xdr:row>
      <xdr:rowOff>0</xdr:rowOff>
    </xdr:from>
    <xdr:ext cx="5760731" cy="4297689"/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0" y="13906500"/>
          <a:ext cx="5760731" cy="4297689"/>
        </a:xfrm>
        <a:prstGeom prst="rect">
          <a:avLst/>
        </a:prstGeom>
      </xdr:spPr>
    </xdr:pic>
    <xdr:clientData/>
  </xdr:oneCellAnchor>
  <xdr:oneCellAnchor>
    <xdr:from>
      <xdr:col>39</xdr:col>
      <xdr:colOff>0</xdr:colOff>
      <xdr:row>23</xdr:row>
      <xdr:rowOff>0</xdr:rowOff>
    </xdr:from>
    <xdr:ext cx="5751587" cy="4297689"/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74400" y="4381500"/>
          <a:ext cx="5751587" cy="4297689"/>
        </a:xfrm>
        <a:prstGeom prst="rect">
          <a:avLst/>
        </a:prstGeom>
      </xdr:spPr>
    </xdr:pic>
    <xdr:clientData/>
  </xdr:oneCellAnchor>
  <xdr:oneCellAnchor>
    <xdr:from>
      <xdr:col>41</xdr:col>
      <xdr:colOff>0</xdr:colOff>
      <xdr:row>49</xdr:row>
      <xdr:rowOff>0</xdr:rowOff>
    </xdr:from>
    <xdr:ext cx="5760731" cy="4297689"/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3600" y="9334500"/>
          <a:ext cx="5760731" cy="4297689"/>
        </a:xfrm>
        <a:prstGeom prst="rect">
          <a:avLst/>
        </a:prstGeom>
      </xdr:spPr>
    </xdr:pic>
    <xdr:clientData/>
  </xdr:oneCellAnchor>
  <xdr:oneCellAnchor>
    <xdr:from>
      <xdr:col>42</xdr:col>
      <xdr:colOff>0</xdr:colOff>
      <xdr:row>75</xdr:row>
      <xdr:rowOff>0</xdr:rowOff>
    </xdr:from>
    <xdr:ext cx="5760731" cy="4297689"/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3200" y="14287500"/>
          <a:ext cx="5760731" cy="429768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760731" cy="4297689"/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26000"/>
          <a:ext cx="5760731" cy="429768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19050</xdr:rowOff>
    </xdr:from>
    <xdr:ext cx="5760731" cy="4297689"/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117550"/>
          <a:ext cx="5760731" cy="4297689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114</xdr:row>
      <xdr:rowOff>57150</xdr:rowOff>
    </xdr:from>
    <xdr:ext cx="5760731" cy="4297689"/>
    <xdr:pic>
      <xdr:nvPicPr>
        <xdr:cNvPr id="19" name="Imagem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1774150"/>
          <a:ext cx="5760731" cy="4297689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94</xdr:row>
      <xdr:rowOff>0</xdr:rowOff>
    </xdr:from>
    <xdr:ext cx="5751587" cy="4297689"/>
    <xdr:pic>
      <xdr:nvPicPr>
        <xdr:cNvPr id="20" name="Imagem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7907000"/>
          <a:ext cx="5751587" cy="4297689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118</xdr:row>
      <xdr:rowOff>0</xdr:rowOff>
    </xdr:from>
    <xdr:ext cx="5760731" cy="4297689"/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2479000"/>
          <a:ext cx="5760731" cy="4297689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143</xdr:row>
      <xdr:rowOff>0</xdr:rowOff>
    </xdr:from>
    <xdr:ext cx="5760731" cy="4297689"/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27241500"/>
          <a:ext cx="5760731" cy="4297689"/>
        </a:xfrm>
        <a:prstGeom prst="rect">
          <a:avLst/>
        </a:prstGeom>
      </xdr:spPr>
    </xdr:pic>
    <xdr:clientData/>
  </xdr:oneCellAnchor>
  <xdr:oneCellAnchor>
    <xdr:from>
      <xdr:col>20</xdr:col>
      <xdr:colOff>0</xdr:colOff>
      <xdr:row>95</xdr:row>
      <xdr:rowOff>0</xdr:rowOff>
    </xdr:from>
    <xdr:ext cx="5760731" cy="4297689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18097500"/>
          <a:ext cx="5760731" cy="4297689"/>
        </a:xfrm>
        <a:prstGeom prst="rect">
          <a:avLst/>
        </a:prstGeom>
      </xdr:spPr>
    </xdr:pic>
    <xdr:clientData/>
  </xdr:oneCellAnchor>
  <xdr:oneCellAnchor>
    <xdr:from>
      <xdr:col>22</xdr:col>
      <xdr:colOff>0</xdr:colOff>
      <xdr:row>120</xdr:row>
      <xdr:rowOff>0</xdr:rowOff>
    </xdr:from>
    <xdr:ext cx="5760731" cy="4297689"/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1200" y="22860000"/>
          <a:ext cx="5760731" cy="4297689"/>
        </a:xfrm>
        <a:prstGeom prst="rect">
          <a:avLst/>
        </a:prstGeom>
      </xdr:spPr>
    </xdr:pic>
    <xdr:clientData/>
  </xdr:oneCellAnchor>
  <xdr:oneCellAnchor>
    <xdr:from>
      <xdr:col>23</xdr:col>
      <xdr:colOff>0</xdr:colOff>
      <xdr:row>145</xdr:row>
      <xdr:rowOff>0</xdr:rowOff>
    </xdr:from>
    <xdr:ext cx="5760731" cy="4297689"/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0800" y="27622500"/>
          <a:ext cx="5760731" cy="4297689"/>
        </a:xfrm>
        <a:prstGeom prst="rect">
          <a:avLst/>
        </a:prstGeom>
      </xdr:spPr>
    </xdr:pic>
    <xdr:clientData/>
  </xdr:oneCellAnchor>
  <xdr:oneCellAnchor>
    <xdr:from>
      <xdr:col>30</xdr:col>
      <xdr:colOff>276225</xdr:colOff>
      <xdr:row>96</xdr:row>
      <xdr:rowOff>28575</xdr:rowOff>
    </xdr:from>
    <xdr:ext cx="5760731" cy="4297689"/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4225" y="18316575"/>
          <a:ext cx="5760731" cy="4297689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122</xdr:row>
      <xdr:rowOff>0</xdr:rowOff>
    </xdr:from>
    <xdr:ext cx="5760731" cy="4297689"/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0" y="23241000"/>
          <a:ext cx="5760731" cy="4297689"/>
        </a:xfrm>
        <a:prstGeom prst="rect">
          <a:avLst/>
        </a:prstGeom>
      </xdr:spPr>
    </xdr:pic>
    <xdr:clientData/>
  </xdr:oneCellAnchor>
  <xdr:oneCellAnchor>
    <xdr:from>
      <xdr:col>34</xdr:col>
      <xdr:colOff>0</xdr:colOff>
      <xdr:row>148</xdr:row>
      <xdr:rowOff>0</xdr:rowOff>
    </xdr:from>
    <xdr:ext cx="5760731" cy="4297689"/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400" y="28194000"/>
          <a:ext cx="5760731" cy="4297689"/>
        </a:xfrm>
        <a:prstGeom prst="rect">
          <a:avLst/>
        </a:prstGeom>
      </xdr:spPr>
    </xdr:pic>
    <xdr:clientData/>
  </xdr:oneCellAnchor>
  <xdr:oneCellAnchor>
    <xdr:from>
      <xdr:col>43</xdr:col>
      <xdr:colOff>0</xdr:colOff>
      <xdr:row>98</xdr:row>
      <xdr:rowOff>0</xdr:rowOff>
    </xdr:from>
    <xdr:ext cx="5751587" cy="4297689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12800" y="18669000"/>
          <a:ext cx="5751587" cy="4297689"/>
        </a:xfrm>
        <a:prstGeom prst="rect">
          <a:avLst/>
        </a:prstGeom>
      </xdr:spPr>
    </xdr:pic>
    <xdr:clientData/>
  </xdr:oneCellAnchor>
  <xdr:oneCellAnchor>
    <xdr:from>
      <xdr:col>45</xdr:col>
      <xdr:colOff>0</xdr:colOff>
      <xdr:row>123</xdr:row>
      <xdr:rowOff>0</xdr:rowOff>
    </xdr:from>
    <xdr:ext cx="5760731" cy="4297689"/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0" y="23431500"/>
          <a:ext cx="5760731" cy="4297689"/>
        </a:xfrm>
        <a:prstGeom prst="rect">
          <a:avLst/>
        </a:prstGeom>
      </xdr:spPr>
    </xdr:pic>
    <xdr:clientData/>
  </xdr:oneCellAnchor>
  <xdr:oneCellAnchor>
    <xdr:from>
      <xdr:col>45</xdr:col>
      <xdr:colOff>0</xdr:colOff>
      <xdr:row>150</xdr:row>
      <xdr:rowOff>0</xdr:rowOff>
    </xdr:from>
    <xdr:ext cx="5760731" cy="4297689"/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0" y="28575000"/>
          <a:ext cx="5760731" cy="4297689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name="Estatísticas_dos_Dado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4"/>
  <sheetViews>
    <sheetView tabSelected="1" zoomScale="84" zoomScaleNormal="84" workbookViewId="0">
      <selection activeCell="S478" sqref="S478"/>
    </sheetView>
  </sheetViews>
  <sheetFormatPr defaultRowHeight="15" x14ac:dyDescent="0.25"/>
  <cols>
    <col min="1" max="1" width="33" bestFit="1" customWidth="1"/>
    <col min="3" max="3" width="9.85546875" bestFit="1" customWidth="1"/>
    <col min="4" max="4" width="10.5703125" bestFit="1" customWidth="1"/>
    <col min="5" max="5" width="11.7109375" bestFit="1" customWidth="1"/>
    <col min="15" max="15" width="19.85546875" style="23" bestFit="1" customWidth="1"/>
  </cols>
  <sheetData>
    <row r="1" spans="1:16" ht="14.45" customHeight="1" x14ac:dyDescent="0.25">
      <c r="A1" s="47" t="s">
        <v>0</v>
      </c>
      <c r="B1" s="55" t="s">
        <v>1</v>
      </c>
      <c r="C1" s="43" t="s">
        <v>13</v>
      </c>
      <c r="D1" s="43" t="s">
        <v>14</v>
      </c>
      <c r="E1" s="43" t="s">
        <v>2</v>
      </c>
      <c r="F1" s="47" t="s">
        <v>3</v>
      </c>
      <c r="G1" s="45" t="s">
        <v>12</v>
      </c>
      <c r="H1" s="49" t="s">
        <v>15</v>
      </c>
      <c r="I1" s="51" t="s">
        <v>16</v>
      </c>
      <c r="J1" s="53" t="s">
        <v>17</v>
      </c>
      <c r="K1" s="47" t="s">
        <v>4</v>
      </c>
      <c r="L1" s="47" t="s">
        <v>6</v>
      </c>
      <c r="M1" s="47" t="s">
        <v>8</v>
      </c>
      <c r="N1" s="45" t="s">
        <v>10</v>
      </c>
      <c r="O1" s="43" t="s">
        <v>58</v>
      </c>
    </row>
    <row r="2" spans="1:16" x14ac:dyDescent="0.25">
      <c r="A2" s="48"/>
      <c r="B2" s="55"/>
      <c r="C2" s="44"/>
      <c r="D2" s="44"/>
      <c r="E2" s="44"/>
      <c r="F2" s="48"/>
      <c r="G2" s="46"/>
      <c r="H2" s="50"/>
      <c r="I2" s="52"/>
      <c r="J2" s="54"/>
      <c r="K2" s="48"/>
      <c r="L2" s="48"/>
      <c r="M2" s="48"/>
      <c r="N2" s="46"/>
      <c r="O2" s="44"/>
    </row>
    <row r="3" spans="1:16" x14ac:dyDescent="0.25">
      <c r="A3" s="1" t="s">
        <v>18</v>
      </c>
      <c r="B3" s="2">
        <v>1</v>
      </c>
      <c r="C3" s="3">
        <v>345298.87149300001</v>
      </c>
      <c r="D3" s="3">
        <v>6526821.2976299897</v>
      </c>
      <c r="E3" s="3" t="s">
        <v>19</v>
      </c>
      <c r="F3" s="2" t="s">
        <v>20</v>
      </c>
      <c r="G3" s="3">
        <v>509.03060394002159</v>
      </c>
      <c r="H3" s="4">
        <v>34.425549768518501</v>
      </c>
      <c r="I3" s="4">
        <v>46.745609567901354</v>
      </c>
      <c r="J3" s="4">
        <f>100-(H3+I3)</f>
        <v>18.828840663580138</v>
      </c>
      <c r="K3" s="5">
        <v>1.27937631607479</v>
      </c>
      <c r="L3" s="5">
        <v>0.51721648450007796</v>
      </c>
      <c r="M3" s="5">
        <v>0.270650881798849</v>
      </c>
      <c r="N3" s="3">
        <v>0.64400000000000002</v>
      </c>
      <c r="O3" s="23" t="s">
        <v>54</v>
      </c>
    </row>
    <row r="4" spans="1:16" x14ac:dyDescent="0.25">
      <c r="A4" s="1" t="s">
        <v>18</v>
      </c>
      <c r="B4" s="2">
        <v>2</v>
      </c>
      <c r="C4" s="3">
        <v>345374.48687700002</v>
      </c>
      <c r="D4" s="3">
        <v>6526821.2976299897</v>
      </c>
      <c r="E4" s="3" t="s">
        <v>19</v>
      </c>
      <c r="F4" s="2" t="s">
        <v>20</v>
      </c>
      <c r="G4" s="3">
        <v>1961.3068697171782</v>
      </c>
      <c r="H4" s="4">
        <v>56.868387776606944</v>
      </c>
      <c r="I4" s="4">
        <v>32.521612223393277</v>
      </c>
      <c r="J4" s="4">
        <v>10.609999999999786</v>
      </c>
      <c r="K4" s="5">
        <v>1.48049102764063</v>
      </c>
      <c r="L4" s="5">
        <v>0.44132414051296998</v>
      </c>
      <c r="M4" s="5">
        <v>0.30349770908469997</v>
      </c>
      <c r="N4" s="3">
        <v>0.23899999999999999</v>
      </c>
      <c r="O4" s="23" t="s">
        <v>55</v>
      </c>
    </row>
    <row r="5" spans="1:16" x14ac:dyDescent="0.25">
      <c r="A5" s="1" t="s">
        <v>18</v>
      </c>
      <c r="B5" s="2">
        <v>3</v>
      </c>
      <c r="C5" s="3">
        <v>345450.10226199898</v>
      </c>
      <c r="D5" s="3">
        <v>6526821.2976299897</v>
      </c>
      <c r="E5" s="3" t="s">
        <v>19</v>
      </c>
      <c r="F5" s="2" t="s">
        <v>20</v>
      </c>
      <c r="G5" s="3">
        <v>167.96432184710545</v>
      </c>
      <c r="H5" s="4">
        <v>52.521481634337597</v>
      </c>
      <c r="I5" s="4">
        <v>26.866122575319892</v>
      </c>
      <c r="J5" s="4">
        <v>20.612395790342511</v>
      </c>
      <c r="K5" s="5">
        <v>1.72602225575357</v>
      </c>
      <c r="L5" s="5">
        <v>0.34867084688544397</v>
      </c>
      <c r="M5" s="5">
        <v>0.140755498930939</v>
      </c>
      <c r="N5" s="3">
        <v>0.377</v>
      </c>
      <c r="O5" s="23" t="s">
        <v>55</v>
      </c>
    </row>
    <row r="6" spans="1:16" x14ac:dyDescent="0.25">
      <c r="A6" s="1" t="s">
        <v>18</v>
      </c>
      <c r="B6" s="2">
        <v>4</v>
      </c>
      <c r="C6" s="3">
        <v>344920.79457000003</v>
      </c>
      <c r="D6" s="3">
        <v>6526920.4514699904</v>
      </c>
      <c r="E6" s="3" t="s">
        <v>19</v>
      </c>
      <c r="F6" s="2" t="s">
        <v>20</v>
      </c>
      <c r="G6" s="3">
        <v>1656.12094371276</v>
      </c>
      <c r="H6" s="4">
        <v>49.04540829305521</v>
      </c>
      <c r="I6" s="4">
        <v>30.926863393538646</v>
      </c>
      <c r="J6" s="4">
        <v>20.027728313406143</v>
      </c>
      <c r="K6" s="5">
        <v>1.36364512779372</v>
      </c>
      <c r="L6" s="5">
        <v>0.48541693290803195</v>
      </c>
      <c r="M6" s="5">
        <v>0.26701811639340201</v>
      </c>
      <c r="N6" s="3">
        <v>0.36099999999999999</v>
      </c>
      <c r="O6" s="23" t="s">
        <v>56</v>
      </c>
    </row>
    <row r="7" spans="1:16" x14ac:dyDescent="0.25">
      <c r="A7" s="1" t="s">
        <v>18</v>
      </c>
      <c r="B7" s="2">
        <v>5</v>
      </c>
      <c r="C7" s="3">
        <v>344996.40995399898</v>
      </c>
      <c r="D7" s="3">
        <v>6526920.4514699904</v>
      </c>
      <c r="E7" s="3" t="s">
        <v>19</v>
      </c>
      <c r="F7" s="2" t="s">
        <v>20</v>
      </c>
      <c r="G7" s="3">
        <v>212.66077279299839</v>
      </c>
      <c r="H7" s="4">
        <v>56.264052358286442</v>
      </c>
      <c r="I7" s="4">
        <v>30.147648204239946</v>
      </c>
      <c r="J7" s="4">
        <v>13.588299437473612</v>
      </c>
      <c r="K7" s="5">
        <v>1.57106169038676</v>
      </c>
      <c r="L7" s="5">
        <v>0.40714653192952499</v>
      </c>
      <c r="M7" s="5">
        <v>0.21848429267004099</v>
      </c>
      <c r="N7" s="3">
        <v>0.34499999999999997</v>
      </c>
      <c r="O7" s="23" t="s">
        <v>56</v>
      </c>
    </row>
    <row r="8" spans="1:16" x14ac:dyDescent="0.25">
      <c r="A8" s="1" t="s">
        <v>18</v>
      </c>
      <c r="B8" s="2">
        <v>6</v>
      </c>
      <c r="C8" s="3">
        <v>345072.025338999</v>
      </c>
      <c r="D8" s="3">
        <v>6526920.4514699904</v>
      </c>
      <c r="E8" s="3" t="s">
        <v>19</v>
      </c>
      <c r="F8" s="2" t="s">
        <v>20</v>
      </c>
      <c r="G8" s="3">
        <v>480.26466857275921</v>
      </c>
      <c r="H8" s="4">
        <v>62.3284664190653</v>
      </c>
      <c r="I8" s="4">
        <v>30.780747446611318</v>
      </c>
      <c r="J8" s="4">
        <v>6.8907861343233812</v>
      </c>
      <c r="K8" s="5">
        <v>1.60161384128896</v>
      </c>
      <c r="L8" s="5">
        <v>0.39561741838152398</v>
      </c>
      <c r="M8" s="5">
        <v>0.235576038014321</v>
      </c>
      <c r="N8" s="3">
        <v>0.126</v>
      </c>
      <c r="O8" s="23" t="s">
        <v>56</v>
      </c>
      <c r="P8" s="40"/>
    </row>
    <row r="9" spans="1:16" x14ac:dyDescent="0.25">
      <c r="A9" s="1" t="s">
        <v>18</v>
      </c>
      <c r="B9" s="2">
        <v>7</v>
      </c>
      <c r="C9" s="3">
        <v>345147.640724</v>
      </c>
      <c r="D9" s="3">
        <v>6526920.4514699904</v>
      </c>
      <c r="E9" s="3" t="s">
        <v>19</v>
      </c>
      <c r="F9" s="2" t="s">
        <v>20</v>
      </c>
      <c r="G9" s="3">
        <v>411.86947233113762</v>
      </c>
      <c r="H9" s="4">
        <v>62.35398370303303</v>
      </c>
      <c r="I9" s="4">
        <v>29.316016296966836</v>
      </c>
      <c r="J9" s="4">
        <v>8.3300000000001262</v>
      </c>
      <c r="K9" s="5">
        <v>1.6629930987313899</v>
      </c>
      <c r="L9" s="5">
        <v>0.372455434440983</v>
      </c>
      <c r="M9" s="5">
        <v>0.20498163297313401</v>
      </c>
      <c r="N9" s="3">
        <v>0.224</v>
      </c>
      <c r="O9" s="23" t="s">
        <v>55</v>
      </c>
    </row>
    <row r="10" spans="1:16" x14ac:dyDescent="0.25">
      <c r="A10" s="1" t="s">
        <v>18</v>
      </c>
      <c r="B10" s="2">
        <v>8</v>
      </c>
      <c r="C10" s="3">
        <v>345223.256108</v>
      </c>
      <c r="D10" s="3">
        <v>6526920.4514699904</v>
      </c>
      <c r="E10" s="3" t="s">
        <v>19</v>
      </c>
      <c r="F10" s="2" t="s">
        <v>20</v>
      </c>
      <c r="G10" s="3">
        <v>477.927725090568</v>
      </c>
      <c r="H10" s="4">
        <v>57.925620881905736</v>
      </c>
      <c r="I10" s="4">
        <v>33.614379118094803</v>
      </c>
      <c r="J10" s="4">
        <v>8.4599999999994679</v>
      </c>
      <c r="K10" s="5">
        <v>1.5875478014698501</v>
      </c>
      <c r="L10" s="5">
        <v>0.400925357935908</v>
      </c>
      <c r="M10" s="5">
        <v>0.23363931263242901</v>
      </c>
      <c r="N10" s="3">
        <v>0.36299999999999999</v>
      </c>
      <c r="O10" s="23" t="s">
        <v>55</v>
      </c>
    </row>
    <row r="11" spans="1:16" x14ac:dyDescent="0.25">
      <c r="A11" s="1" t="s">
        <v>18</v>
      </c>
      <c r="B11" s="2">
        <v>9</v>
      </c>
      <c r="C11" s="3">
        <v>345298.87149300001</v>
      </c>
      <c r="D11" s="3">
        <v>6526920.4514699904</v>
      </c>
      <c r="E11" s="3" t="s">
        <v>19</v>
      </c>
      <c r="F11" s="2" t="s">
        <v>20</v>
      </c>
      <c r="G11" s="3">
        <v>2852.883853134168</v>
      </c>
      <c r="H11" s="4">
        <v>55.442340686274505</v>
      </c>
      <c r="I11" s="4">
        <v>24.937659313725746</v>
      </c>
      <c r="J11" s="4">
        <v>19.619999999999749</v>
      </c>
      <c r="K11" s="5">
        <v>1.3371013292671701</v>
      </c>
      <c r="L11" s="5">
        <v>0.49543346065389998</v>
      </c>
      <c r="M11" s="5">
        <v>0.30305492808953399</v>
      </c>
      <c r="N11" s="3">
        <v>0.83</v>
      </c>
      <c r="O11" s="23" t="s">
        <v>53</v>
      </c>
    </row>
    <row r="12" spans="1:16" x14ac:dyDescent="0.25">
      <c r="A12" s="1" t="s">
        <v>18</v>
      </c>
      <c r="B12" s="2">
        <v>10</v>
      </c>
      <c r="C12" s="3">
        <v>345374.48687700002</v>
      </c>
      <c r="D12" s="3">
        <v>6526920.4514699904</v>
      </c>
      <c r="E12" s="3" t="s">
        <v>19</v>
      </c>
      <c r="F12" s="2" t="s">
        <v>20</v>
      </c>
      <c r="G12" s="3">
        <v>117.17694211289304</v>
      </c>
      <c r="H12" s="4">
        <v>50.182911392405074</v>
      </c>
      <c r="I12" s="4">
        <v>32.082742616034608</v>
      </c>
      <c r="J12" s="4">
        <v>17.734345991560314</v>
      </c>
      <c r="K12" s="5">
        <v>1.6323301779244399</v>
      </c>
      <c r="L12" s="5">
        <v>0.38402634795304202</v>
      </c>
      <c r="M12" s="5">
        <v>0.124613780622225</v>
      </c>
      <c r="N12" s="3">
        <v>0.33</v>
      </c>
      <c r="O12" s="23" t="s">
        <v>55</v>
      </c>
    </row>
    <row r="13" spans="1:16" x14ac:dyDescent="0.25">
      <c r="A13" s="1" t="s">
        <v>18</v>
      </c>
      <c r="B13" s="2">
        <v>11</v>
      </c>
      <c r="C13" s="3">
        <v>345450.10226199898</v>
      </c>
      <c r="D13" s="3">
        <v>6526920.4514699904</v>
      </c>
      <c r="E13" s="3" t="s">
        <v>19</v>
      </c>
      <c r="F13" s="2" t="s">
        <v>20</v>
      </c>
      <c r="G13" s="3">
        <v>1877.2307497328329</v>
      </c>
      <c r="H13" s="4">
        <v>46.39820136228181</v>
      </c>
      <c r="I13" s="4">
        <v>24.776979565772699</v>
      </c>
      <c r="J13" s="4">
        <v>28.824819071945491</v>
      </c>
      <c r="K13" s="5">
        <v>1.4468011849492399</v>
      </c>
      <c r="L13" s="5">
        <v>0.45403728869840199</v>
      </c>
      <c r="M13" s="5">
        <v>0.28158294419378804</v>
      </c>
      <c r="N13" s="3">
        <v>0.52500000000000002</v>
      </c>
      <c r="O13" s="23" t="s">
        <v>55</v>
      </c>
    </row>
    <row r="14" spans="1:16" x14ac:dyDescent="0.25">
      <c r="A14" s="1" t="s">
        <v>18</v>
      </c>
      <c r="B14" s="2">
        <v>12</v>
      </c>
      <c r="C14" s="3">
        <v>345525.71764699899</v>
      </c>
      <c r="D14" s="3">
        <v>6526920.4514699904</v>
      </c>
      <c r="E14" s="3" t="s">
        <v>19</v>
      </c>
      <c r="F14" s="2" t="s">
        <v>20</v>
      </c>
      <c r="G14" s="3">
        <v>503.04491484977757</v>
      </c>
      <c r="H14" s="4">
        <v>50.164826538364153</v>
      </c>
      <c r="I14" s="4">
        <v>27.177477842492049</v>
      </c>
      <c r="J14" s="4">
        <v>22.657695619143798</v>
      </c>
      <c r="K14" s="5">
        <v>1.6691273639225599</v>
      </c>
      <c r="L14" s="5">
        <v>0.37014061738771203</v>
      </c>
      <c r="M14" s="5">
        <v>0.16078835885218401</v>
      </c>
      <c r="N14" s="3">
        <v>0.51</v>
      </c>
      <c r="O14" s="23" t="s">
        <v>55</v>
      </c>
    </row>
    <row r="15" spans="1:16" x14ac:dyDescent="0.25">
      <c r="A15" s="1" t="s">
        <v>18</v>
      </c>
      <c r="B15" s="2">
        <v>13</v>
      </c>
      <c r="C15" s="3">
        <v>344920.79457000003</v>
      </c>
      <c r="D15" s="3">
        <v>6527019.6053200001</v>
      </c>
      <c r="E15" s="3" t="s">
        <v>19</v>
      </c>
      <c r="F15" s="2" t="s">
        <v>20</v>
      </c>
      <c r="G15" s="3">
        <v>6021.3451848855839</v>
      </c>
      <c r="H15" s="4">
        <v>36.852337441563961</v>
      </c>
      <c r="I15" s="4">
        <v>27.713123671908193</v>
      </c>
      <c r="J15" s="4">
        <v>35.434538886527847</v>
      </c>
      <c r="K15" s="5">
        <v>0.80711450103048099</v>
      </c>
      <c r="L15" s="5">
        <v>0.69542849017717701</v>
      </c>
      <c r="M15" s="5">
        <v>0.46689646891894598</v>
      </c>
      <c r="N15" s="3">
        <v>1.3029999999999999</v>
      </c>
      <c r="O15" s="23" t="s">
        <v>53</v>
      </c>
    </row>
    <row r="16" spans="1:16" x14ac:dyDescent="0.25">
      <c r="A16" s="1" t="s">
        <v>18</v>
      </c>
      <c r="B16" s="2">
        <v>14</v>
      </c>
      <c r="C16" s="3">
        <v>344996.40995399898</v>
      </c>
      <c r="D16" s="3">
        <v>6527019.6053200001</v>
      </c>
      <c r="E16" s="3" t="s">
        <v>19</v>
      </c>
      <c r="F16" s="2" t="s">
        <v>20</v>
      </c>
      <c r="G16" s="3">
        <v>6211.0550162793124</v>
      </c>
      <c r="H16" s="4">
        <v>40.510774212540476</v>
      </c>
      <c r="I16" s="4">
        <v>29.869225787459641</v>
      </c>
      <c r="J16" s="4">
        <v>29.619999999999891</v>
      </c>
      <c r="K16" s="5">
        <v>0.90072207505336799</v>
      </c>
      <c r="L16" s="5">
        <v>0.66010487733835188</v>
      </c>
      <c r="M16" s="5">
        <v>0.46386724357657499</v>
      </c>
      <c r="N16" s="3">
        <v>1.665</v>
      </c>
      <c r="O16" s="23" t="s">
        <v>53</v>
      </c>
    </row>
    <row r="17" spans="1:15" x14ac:dyDescent="0.25">
      <c r="A17" s="1" t="s">
        <v>18</v>
      </c>
      <c r="B17" s="2">
        <v>15</v>
      </c>
      <c r="C17" s="3">
        <v>345223.256108</v>
      </c>
      <c r="D17" s="3">
        <v>6527019.6053200001</v>
      </c>
      <c r="E17" s="3" t="s">
        <v>19</v>
      </c>
      <c r="F17" s="2" t="s">
        <v>20</v>
      </c>
      <c r="G17" s="3">
        <v>8303.3077345184884</v>
      </c>
      <c r="H17" s="4">
        <v>51.261146496815307</v>
      </c>
      <c r="I17" s="4">
        <v>26.738853503184799</v>
      </c>
      <c r="J17" s="4">
        <v>21.999999999999886</v>
      </c>
      <c r="K17" s="5">
        <v>1.3191324238106401</v>
      </c>
      <c r="L17" s="5">
        <v>0.50221417969409798</v>
      </c>
      <c r="M17" s="5">
        <v>0.34526725414730597</v>
      </c>
      <c r="N17" s="3">
        <v>0.93</v>
      </c>
      <c r="O17" s="23" t="s">
        <v>55</v>
      </c>
    </row>
    <row r="18" spans="1:15" x14ac:dyDescent="0.25">
      <c r="A18" s="1" t="s">
        <v>18</v>
      </c>
      <c r="B18" s="2">
        <v>16</v>
      </c>
      <c r="C18" s="3">
        <v>345298.87149300001</v>
      </c>
      <c r="D18" s="3">
        <v>6527019.6053200001</v>
      </c>
      <c r="E18" s="3" t="s">
        <v>19</v>
      </c>
      <c r="F18" s="2" t="s">
        <v>20</v>
      </c>
      <c r="G18" s="3">
        <v>1303.8692744993521</v>
      </c>
      <c r="H18" s="4">
        <v>40.594234079173859</v>
      </c>
      <c r="I18" s="4">
        <v>38.855765920826784</v>
      </c>
      <c r="J18" s="4">
        <v>20.549999999999358</v>
      </c>
      <c r="K18" s="5">
        <v>0.85250081541615497</v>
      </c>
      <c r="L18" s="5">
        <v>0.67830157908824384</v>
      </c>
      <c r="M18" s="5">
        <v>0.31056064157035601</v>
      </c>
      <c r="N18" s="3">
        <v>2.52</v>
      </c>
      <c r="O18" s="23" t="s">
        <v>55</v>
      </c>
    </row>
    <row r="19" spans="1:15" x14ac:dyDescent="0.25">
      <c r="A19" s="1" t="s">
        <v>18</v>
      </c>
      <c r="B19" s="2">
        <v>17</v>
      </c>
      <c r="C19" s="3">
        <v>345374.48687700002</v>
      </c>
      <c r="D19" s="3">
        <v>6527019.6053200001</v>
      </c>
      <c r="E19" s="3" t="s">
        <v>19</v>
      </c>
      <c r="F19" s="2" t="s">
        <v>20</v>
      </c>
      <c r="G19" s="3">
        <v>3512.2008476730239</v>
      </c>
      <c r="H19" s="4">
        <v>60.923927866499184</v>
      </c>
      <c r="I19" s="4">
        <v>26.226072133501276</v>
      </c>
      <c r="J19" s="4">
        <v>12.84999999999954</v>
      </c>
      <c r="K19" s="5">
        <v>1.2621995592498401</v>
      </c>
      <c r="L19" s="5">
        <v>0.52369827952836401</v>
      </c>
      <c r="M19" s="5">
        <v>0.24781658590029601</v>
      </c>
      <c r="N19" s="3">
        <v>1.3049999999999999</v>
      </c>
      <c r="O19" s="23" t="s">
        <v>53</v>
      </c>
    </row>
    <row r="20" spans="1:15" x14ac:dyDescent="0.25">
      <c r="A20" s="1" t="s">
        <v>18</v>
      </c>
      <c r="B20" s="2">
        <v>18</v>
      </c>
      <c r="C20" s="3">
        <v>345450.10226199898</v>
      </c>
      <c r="D20" s="3">
        <v>6527019.6053200001</v>
      </c>
      <c r="E20" s="3" t="s">
        <v>19</v>
      </c>
      <c r="F20" s="2" t="s">
        <v>20</v>
      </c>
      <c r="G20" s="3">
        <v>3067.5659942244961</v>
      </c>
      <c r="H20" s="4">
        <v>56.449177308447929</v>
      </c>
      <c r="I20" s="4">
        <v>31.22082269155203</v>
      </c>
      <c r="J20" s="4">
        <v>12.330000000000041</v>
      </c>
      <c r="K20" s="5">
        <v>1.3791338242101301</v>
      </c>
      <c r="L20" s="5">
        <v>0.47957214180749902</v>
      </c>
      <c r="M20" s="5">
        <v>0.31399739391318504</v>
      </c>
      <c r="N20" s="3">
        <v>0.60899999999999999</v>
      </c>
      <c r="O20" s="23" t="s">
        <v>53</v>
      </c>
    </row>
    <row r="21" spans="1:15" x14ac:dyDescent="0.25">
      <c r="A21" s="1" t="s">
        <v>18</v>
      </c>
      <c r="B21" s="2">
        <v>19</v>
      </c>
      <c r="C21" s="3">
        <v>345525.71764699899</v>
      </c>
      <c r="D21" s="3">
        <v>6527019.6053200001</v>
      </c>
      <c r="E21" s="3" t="s">
        <v>19</v>
      </c>
      <c r="F21" s="2" t="s">
        <v>20</v>
      </c>
      <c r="G21" s="3">
        <v>294.54202856654399</v>
      </c>
      <c r="H21" s="4">
        <v>47.472897196261677</v>
      </c>
      <c r="I21" s="4">
        <v>29.137102803738486</v>
      </c>
      <c r="J21" s="4">
        <v>23.389999999999844</v>
      </c>
      <c r="K21" s="5">
        <v>1.5304318680297999</v>
      </c>
      <c r="L21" s="5">
        <v>0.42247854036611104</v>
      </c>
      <c r="M21" s="5">
        <v>0.16200241895440801</v>
      </c>
      <c r="N21" s="3">
        <v>0.34499999999999997</v>
      </c>
      <c r="O21" s="23" t="s">
        <v>53</v>
      </c>
    </row>
    <row r="22" spans="1:15" x14ac:dyDescent="0.25">
      <c r="A22" s="1" t="s">
        <v>18</v>
      </c>
      <c r="B22" s="2">
        <v>20</v>
      </c>
      <c r="C22" s="3">
        <v>345601.333030999</v>
      </c>
      <c r="D22" s="3">
        <v>6527019.6053200001</v>
      </c>
      <c r="E22" s="3" t="s">
        <v>19</v>
      </c>
      <c r="F22" s="2" t="s">
        <v>20</v>
      </c>
      <c r="G22" s="3">
        <v>910.90122933892076</v>
      </c>
      <c r="H22" s="4">
        <v>32.068972235752554</v>
      </c>
      <c r="I22" s="4">
        <v>22.051027764247792</v>
      </c>
      <c r="J22" s="4">
        <v>45.879999999999654</v>
      </c>
      <c r="K22" s="5">
        <v>0.898316871500215</v>
      </c>
      <c r="L22" s="5">
        <v>0.66101250132067402</v>
      </c>
      <c r="M22" s="5">
        <v>0.440061643126746</v>
      </c>
      <c r="N22" s="3">
        <v>0.56399999999999995</v>
      </c>
      <c r="O22" s="23" t="s">
        <v>54</v>
      </c>
    </row>
    <row r="23" spans="1:15" x14ac:dyDescent="0.25">
      <c r="A23" s="1" t="s">
        <v>18</v>
      </c>
      <c r="B23" s="2">
        <v>21</v>
      </c>
      <c r="C23" s="3">
        <v>344920.79457000003</v>
      </c>
      <c r="D23" s="3">
        <v>6527118.7591599897</v>
      </c>
      <c r="E23" s="3" t="s">
        <v>19</v>
      </c>
      <c r="F23" s="2" t="s">
        <v>20</v>
      </c>
      <c r="G23" s="3">
        <v>534.60298628666885</v>
      </c>
      <c r="H23" s="4">
        <v>52.467299051422877</v>
      </c>
      <c r="I23" s="4">
        <v>35.001088367449341</v>
      </c>
      <c r="J23" s="4">
        <v>12.531612581127778</v>
      </c>
      <c r="K23" s="5">
        <v>1.5284392603371999</v>
      </c>
      <c r="L23" s="5">
        <v>0.42323046779728501</v>
      </c>
      <c r="M23" s="5">
        <v>0.25638499100971202</v>
      </c>
      <c r="N23" s="3">
        <v>0.14699999999999999</v>
      </c>
      <c r="O23" s="23" t="s">
        <v>54</v>
      </c>
    </row>
    <row r="24" spans="1:15" x14ac:dyDescent="0.25">
      <c r="A24" s="1" t="s">
        <v>18</v>
      </c>
      <c r="B24" s="2">
        <v>22</v>
      </c>
      <c r="C24" s="3">
        <v>344996.40995399898</v>
      </c>
      <c r="D24" s="3">
        <v>6527118.7591599897</v>
      </c>
      <c r="E24" s="3" t="s">
        <v>19</v>
      </c>
      <c r="F24" s="2" t="s">
        <v>20</v>
      </c>
      <c r="G24" s="3">
        <v>769.85691242812561</v>
      </c>
      <c r="H24" s="4">
        <v>52.383666904932092</v>
      </c>
      <c r="I24" s="4">
        <v>32.766333095068063</v>
      </c>
      <c r="J24" s="4">
        <v>14.849999999999852</v>
      </c>
      <c r="K24" s="5">
        <v>1.5326833646343501</v>
      </c>
      <c r="L24" s="5">
        <v>0.42162891900590693</v>
      </c>
      <c r="M24" s="5">
        <v>0.23481501857092099</v>
      </c>
      <c r="N24" s="3">
        <v>0.32800000000000001</v>
      </c>
      <c r="O24" s="23" t="s">
        <v>55</v>
      </c>
    </row>
    <row r="25" spans="1:15" x14ac:dyDescent="0.25">
      <c r="A25" s="1" t="s">
        <v>18</v>
      </c>
      <c r="B25" s="2">
        <v>23</v>
      </c>
      <c r="C25" s="3">
        <v>345072.025338999</v>
      </c>
      <c r="D25" s="3">
        <v>6527118.7591599897</v>
      </c>
      <c r="E25" s="3" t="s">
        <v>19</v>
      </c>
      <c r="F25" s="2" t="s">
        <v>20</v>
      </c>
      <c r="G25" s="3">
        <v>1168.8871691529239</v>
      </c>
      <c r="H25" s="4">
        <v>53.594268774703551</v>
      </c>
      <c r="I25" s="4">
        <v>34.43573122529628</v>
      </c>
      <c r="J25" s="4">
        <v>11.970000000000169</v>
      </c>
      <c r="K25" s="5">
        <v>1.5183618878788301</v>
      </c>
      <c r="L25" s="5">
        <v>0.42703324985704499</v>
      </c>
      <c r="M25" s="5">
        <v>0.27352519112254897</v>
      </c>
      <c r="N25" s="3">
        <v>0.255</v>
      </c>
      <c r="O25" s="23" t="s">
        <v>55</v>
      </c>
    </row>
    <row r="26" spans="1:15" x14ac:dyDescent="0.25">
      <c r="A26" s="1" t="s">
        <v>18</v>
      </c>
      <c r="B26" s="2">
        <v>24</v>
      </c>
      <c r="C26" s="3">
        <v>345147.640724</v>
      </c>
      <c r="D26" s="3">
        <v>6527118.7591599897</v>
      </c>
      <c r="E26" s="3" t="s">
        <v>19</v>
      </c>
      <c r="F26" s="2" t="s">
        <v>20</v>
      </c>
      <c r="G26" s="3">
        <v>1194.6553309104193</v>
      </c>
      <c r="H26" s="4">
        <v>34.194080570019189</v>
      </c>
      <c r="I26" s="4">
        <v>49.171235955055586</v>
      </c>
      <c r="J26" s="4">
        <v>16.634683474925218</v>
      </c>
      <c r="K26" s="5">
        <v>1.4866384051658501</v>
      </c>
      <c r="L26" s="5">
        <v>0.43900437540911397</v>
      </c>
      <c r="M26" s="5">
        <v>0.26962811338341303</v>
      </c>
      <c r="N26" s="3">
        <v>0.45500000000000002</v>
      </c>
      <c r="O26" s="23" t="s">
        <v>55</v>
      </c>
    </row>
    <row r="27" spans="1:15" x14ac:dyDescent="0.25">
      <c r="A27" s="1" t="s">
        <v>18</v>
      </c>
      <c r="B27" s="2">
        <v>25</v>
      </c>
      <c r="C27" s="3">
        <v>345223.256108</v>
      </c>
      <c r="D27" s="3">
        <v>6527118.7591599897</v>
      </c>
      <c r="E27" s="3" t="s">
        <v>19</v>
      </c>
      <c r="F27" s="2" t="s">
        <v>20</v>
      </c>
      <c r="G27" s="3">
        <v>3170.6173826874719</v>
      </c>
      <c r="H27" s="4">
        <v>60.211806699615593</v>
      </c>
      <c r="I27" s="4">
        <v>21.738193300384197</v>
      </c>
      <c r="J27" s="4">
        <v>18.05000000000021</v>
      </c>
      <c r="K27" s="5">
        <v>1.3763013082939299</v>
      </c>
      <c r="L27" s="5">
        <v>0.48064101573814</v>
      </c>
      <c r="M27" s="5">
        <v>0.320967455330323</v>
      </c>
      <c r="N27" s="3">
        <v>1.2969999999999999</v>
      </c>
      <c r="O27" s="23" t="s">
        <v>55</v>
      </c>
    </row>
    <row r="28" spans="1:15" x14ac:dyDescent="0.25">
      <c r="A28" s="1" t="s">
        <v>18</v>
      </c>
      <c r="B28" s="2">
        <v>26</v>
      </c>
      <c r="C28" s="3">
        <v>345298.87149300001</v>
      </c>
      <c r="D28" s="3">
        <v>6527118.7591599897</v>
      </c>
      <c r="E28" s="3" t="s">
        <v>19</v>
      </c>
      <c r="F28" s="2" t="s">
        <v>20</v>
      </c>
      <c r="G28" s="3">
        <v>2022.4946006197056</v>
      </c>
      <c r="H28" s="4">
        <v>50.397481181239137</v>
      </c>
      <c r="I28" s="4">
        <v>28.946149392009453</v>
      </c>
      <c r="J28" s="4">
        <v>20.656369426751411</v>
      </c>
      <c r="K28" s="5">
        <v>1.4456404980092501</v>
      </c>
      <c r="L28" s="5">
        <v>0.454475283770093</v>
      </c>
      <c r="M28" s="5">
        <v>0.30356344254988299</v>
      </c>
      <c r="N28" s="3">
        <v>0.45</v>
      </c>
      <c r="O28" s="23" t="s">
        <v>55</v>
      </c>
    </row>
    <row r="29" spans="1:15" x14ac:dyDescent="0.25">
      <c r="A29" s="1" t="s">
        <v>18</v>
      </c>
      <c r="B29" s="2">
        <v>27</v>
      </c>
      <c r="C29" s="3">
        <v>345374.48687700002</v>
      </c>
      <c r="D29" s="3">
        <v>6527118.7591599897</v>
      </c>
      <c r="E29" s="3" t="s">
        <v>19</v>
      </c>
      <c r="F29" s="2" t="s">
        <v>20</v>
      </c>
      <c r="G29" s="3">
        <v>184.41385031866054</v>
      </c>
      <c r="H29" s="4">
        <v>45.976865905179146</v>
      </c>
      <c r="I29" s="4">
        <v>24.401553747458095</v>
      </c>
      <c r="J29" s="4">
        <v>29.621580347362759</v>
      </c>
      <c r="K29" s="5">
        <v>1.5000187839321</v>
      </c>
      <c r="L29" s="5">
        <v>0.43395517587467802</v>
      </c>
      <c r="M29" s="5">
        <v>0.16586162146685901</v>
      </c>
      <c r="N29" s="3">
        <v>1.4419999999999999</v>
      </c>
      <c r="O29" s="23" t="s">
        <v>53</v>
      </c>
    </row>
    <row r="30" spans="1:15" x14ac:dyDescent="0.25">
      <c r="A30" s="1" t="s">
        <v>18</v>
      </c>
      <c r="B30" s="2">
        <v>28</v>
      </c>
      <c r="C30" s="3">
        <v>345450.10226199898</v>
      </c>
      <c r="D30" s="3">
        <v>6527118.7591599897</v>
      </c>
      <c r="E30" s="3" t="s">
        <v>19</v>
      </c>
      <c r="F30" s="2" t="s">
        <v>20</v>
      </c>
      <c r="G30" s="3">
        <v>666.24080424787451</v>
      </c>
      <c r="H30" s="4">
        <v>45.816685584563018</v>
      </c>
      <c r="I30" s="4">
        <v>36.323314415436684</v>
      </c>
      <c r="J30" s="4">
        <v>17.860000000000298</v>
      </c>
      <c r="K30" s="5">
        <v>1.48460786562909</v>
      </c>
      <c r="L30" s="5">
        <v>0.43977061674374002</v>
      </c>
      <c r="M30" s="5">
        <v>0.25536995270948898</v>
      </c>
      <c r="N30" s="3">
        <v>0.56999999999999995</v>
      </c>
      <c r="O30" s="23" t="s">
        <v>55</v>
      </c>
    </row>
    <row r="31" spans="1:15" x14ac:dyDescent="0.25">
      <c r="A31" s="1" t="s">
        <v>18</v>
      </c>
      <c r="B31" s="2">
        <v>29</v>
      </c>
      <c r="C31" s="3">
        <v>345525.71764699899</v>
      </c>
      <c r="D31" s="3">
        <v>6527118.7591599897</v>
      </c>
      <c r="E31" s="3" t="s">
        <v>19</v>
      </c>
      <c r="F31" s="2" t="s">
        <v>20</v>
      </c>
      <c r="G31" s="3">
        <v>606.29786620026005</v>
      </c>
      <c r="H31" s="4">
        <v>50.829927007299268</v>
      </c>
      <c r="I31" s="4">
        <v>27.021289537713027</v>
      </c>
      <c r="J31" s="4">
        <v>22.148783454987704</v>
      </c>
      <c r="K31" s="5">
        <v>1.6316363085047001</v>
      </c>
      <c r="L31" s="5">
        <v>0.38428818546992505</v>
      </c>
      <c r="M31" s="5">
        <v>0.183142414752128</v>
      </c>
      <c r="N31" s="3">
        <v>0.56399999999999995</v>
      </c>
      <c r="O31" s="23" t="s">
        <v>55</v>
      </c>
    </row>
    <row r="32" spans="1:15" x14ac:dyDescent="0.25">
      <c r="A32" s="1" t="s">
        <v>18</v>
      </c>
      <c r="B32" s="2">
        <v>30</v>
      </c>
      <c r="C32" s="3">
        <v>345601.333030999</v>
      </c>
      <c r="D32" s="3">
        <v>6527118.7591599897</v>
      </c>
      <c r="E32" s="3" t="s">
        <v>19</v>
      </c>
      <c r="F32" s="2" t="s">
        <v>20</v>
      </c>
      <c r="G32" s="3">
        <v>300.88565972058245</v>
      </c>
      <c r="H32" s="4">
        <v>61.694765521796583</v>
      </c>
      <c r="I32" s="4">
        <v>28.160320343461056</v>
      </c>
      <c r="J32" s="4">
        <v>10.144914134742361</v>
      </c>
      <c r="K32" s="5">
        <v>1.5997908644732399</v>
      </c>
      <c r="L32" s="5">
        <v>0.39630533416104002</v>
      </c>
      <c r="M32" s="5">
        <v>0.210949048729518</v>
      </c>
      <c r="N32" s="3">
        <v>0.317</v>
      </c>
      <c r="O32" s="23" t="s">
        <v>55</v>
      </c>
    </row>
    <row r="33" spans="1:15" x14ac:dyDescent="0.25">
      <c r="A33" s="1" t="s">
        <v>18</v>
      </c>
      <c r="B33" s="2">
        <v>31</v>
      </c>
      <c r="C33" s="3">
        <v>345676.948416</v>
      </c>
      <c r="D33" s="3">
        <v>6527118.7591599897</v>
      </c>
      <c r="E33" s="3" t="s">
        <v>19</v>
      </c>
      <c r="F33" s="2" t="s">
        <v>20</v>
      </c>
      <c r="G33" s="3">
        <v>878.29087060966799</v>
      </c>
      <c r="H33" s="4">
        <v>50.812269938650289</v>
      </c>
      <c r="I33" s="4">
        <v>37.43773006135045</v>
      </c>
      <c r="J33" s="4">
        <v>11.749999999999261</v>
      </c>
      <c r="K33" s="5">
        <v>1.5048534681127199</v>
      </c>
      <c r="L33" s="5">
        <v>0.43213076674991596</v>
      </c>
      <c r="M33" s="5">
        <v>0.28377872877525601</v>
      </c>
      <c r="N33" s="3">
        <v>0.33</v>
      </c>
      <c r="O33" s="23" t="s">
        <v>54</v>
      </c>
    </row>
    <row r="34" spans="1:15" x14ac:dyDescent="0.25">
      <c r="A34" s="1" t="s">
        <v>18</v>
      </c>
      <c r="B34" s="2">
        <v>32</v>
      </c>
      <c r="C34" s="3">
        <v>344996.40995399898</v>
      </c>
      <c r="D34" s="3">
        <v>6527217.9130100003</v>
      </c>
      <c r="E34" s="3" t="s">
        <v>19</v>
      </c>
      <c r="F34" s="2" t="s">
        <v>20</v>
      </c>
      <c r="G34" s="3">
        <v>255.65396497026239</v>
      </c>
      <c r="H34" s="4">
        <v>53.498671166420586</v>
      </c>
      <c r="I34" s="4">
        <v>25.518865218309216</v>
      </c>
      <c r="J34" s="4">
        <v>20.982463615270198</v>
      </c>
      <c r="K34" s="5">
        <v>1.6025356340630299</v>
      </c>
      <c r="L34" s="5">
        <v>0.395269572051688</v>
      </c>
      <c r="M34" s="5">
        <v>0.180963172251283</v>
      </c>
      <c r="N34" s="3">
        <v>0.81599999999999995</v>
      </c>
      <c r="O34" s="23" t="s">
        <v>53</v>
      </c>
    </row>
    <row r="35" spans="1:15" x14ac:dyDescent="0.25">
      <c r="A35" s="1" t="s">
        <v>18</v>
      </c>
      <c r="B35" s="2">
        <v>33</v>
      </c>
      <c r="C35" s="3">
        <v>345072.025338999</v>
      </c>
      <c r="D35" s="3">
        <v>6527217.9130100003</v>
      </c>
      <c r="E35" s="3" t="s">
        <v>19</v>
      </c>
      <c r="F35" s="2" t="s">
        <v>20</v>
      </c>
      <c r="G35" s="3">
        <v>1250.461076081064</v>
      </c>
      <c r="H35" s="4">
        <v>65.73471758154335</v>
      </c>
      <c r="I35" s="4">
        <v>27.716957836117643</v>
      </c>
      <c r="J35" s="4">
        <v>6.5483245823390073</v>
      </c>
      <c r="K35" s="5">
        <v>1.4800411124381601</v>
      </c>
      <c r="L35" s="5">
        <v>0.44149391983465508</v>
      </c>
      <c r="M35" s="5">
        <v>0.327090918806902</v>
      </c>
      <c r="N35" s="3">
        <v>0.36499999999999999</v>
      </c>
      <c r="O35" s="23" t="s">
        <v>55</v>
      </c>
    </row>
    <row r="36" spans="1:15" x14ac:dyDescent="0.25">
      <c r="A36" s="1" t="s">
        <v>18</v>
      </c>
      <c r="B36" s="2">
        <v>34</v>
      </c>
      <c r="C36" s="3">
        <v>345147.640724</v>
      </c>
      <c r="D36" s="3">
        <v>6527217.9130100003</v>
      </c>
      <c r="E36" s="3" t="s">
        <v>19</v>
      </c>
      <c r="F36" s="2" t="s">
        <v>20</v>
      </c>
      <c r="G36" s="3">
        <v>3087.4004733004081</v>
      </c>
      <c r="H36" s="4">
        <v>51.888457031249992</v>
      </c>
      <c r="I36" s="4">
        <v>28.940230468749959</v>
      </c>
      <c r="J36" s="4">
        <v>19.171312500000049</v>
      </c>
      <c r="K36" s="5">
        <v>1.42425110514779</v>
      </c>
      <c r="L36" s="5">
        <v>0.46254675277442103</v>
      </c>
      <c r="M36" s="5">
        <v>0.30750694021067998</v>
      </c>
      <c r="N36" s="3">
        <v>1.264</v>
      </c>
      <c r="O36" s="23" t="s">
        <v>55</v>
      </c>
    </row>
    <row r="37" spans="1:15" x14ac:dyDescent="0.25">
      <c r="A37" s="1" t="s">
        <v>18</v>
      </c>
      <c r="B37" s="2">
        <v>35</v>
      </c>
      <c r="C37" s="3">
        <v>345223.256108</v>
      </c>
      <c r="D37" s="3">
        <v>6527217.9130100003</v>
      </c>
      <c r="E37" s="3" t="s">
        <v>19</v>
      </c>
      <c r="F37" s="2" t="s">
        <v>20</v>
      </c>
      <c r="G37" s="3">
        <v>630.58290493372328</v>
      </c>
      <c r="H37" s="4">
        <v>50.074742498880418</v>
      </c>
      <c r="I37" s="4">
        <v>31.52735109717872</v>
      </c>
      <c r="J37" s="4">
        <v>18.397906403940862</v>
      </c>
      <c r="K37" s="5">
        <v>1.3665986034161</v>
      </c>
      <c r="L37" s="5">
        <v>0.48430241380524497</v>
      </c>
      <c r="M37" s="5">
        <v>0.29362679838790001</v>
      </c>
      <c r="N37" s="3">
        <v>0.74099999999999999</v>
      </c>
      <c r="O37" s="23" t="s">
        <v>53</v>
      </c>
    </row>
    <row r="38" spans="1:15" x14ac:dyDescent="0.25">
      <c r="A38" s="1" t="s">
        <v>18</v>
      </c>
      <c r="B38" s="2">
        <v>36</v>
      </c>
      <c r="C38" s="3">
        <v>345298.87149300001</v>
      </c>
      <c r="D38" s="3">
        <v>6527217.9130100003</v>
      </c>
      <c r="E38" s="3" t="s">
        <v>19</v>
      </c>
      <c r="F38" s="2" t="s">
        <v>20</v>
      </c>
      <c r="G38" s="3">
        <v>1964.9257255027633</v>
      </c>
      <c r="H38" s="4">
        <v>49.838251793868217</v>
      </c>
      <c r="I38" s="4">
        <v>36.711748206132221</v>
      </c>
      <c r="J38" s="4">
        <v>13.449999999999562</v>
      </c>
      <c r="K38" s="5">
        <v>1.3666776643689</v>
      </c>
      <c r="L38" s="5">
        <v>0.48427257948343394</v>
      </c>
      <c r="M38" s="5">
        <v>0.32405971856972199</v>
      </c>
      <c r="N38" s="3">
        <v>0.83799999999999997</v>
      </c>
      <c r="O38" s="23" t="s">
        <v>55</v>
      </c>
    </row>
    <row r="39" spans="1:15" x14ac:dyDescent="0.25">
      <c r="A39" s="1" t="s">
        <v>18</v>
      </c>
      <c r="B39" s="2">
        <v>37</v>
      </c>
      <c r="C39" s="3">
        <v>345374.48687700002</v>
      </c>
      <c r="D39" s="3">
        <v>6527217.9130100003</v>
      </c>
      <c r="E39" s="3" t="s">
        <v>19</v>
      </c>
      <c r="F39" s="2" t="s">
        <v>20</v>
      </c>
      <c r="G39" s="3">
        <v>288.03282388744321</v>
      </c>
      <c r="H39" s="4">
        <v>49.378957654723152</v>
      </c>
      <c r="I39" s="4">
        <v>30.696912052117149</v>
      </c>
      <c r="J39" s="4">
        <v>19.924130293159699</v>
      </c>
      <c r="K39" s="5">
        <v>1.48078377106565</v>
      </c>
      <c r="L39" s="5">
        <v>0.44121367129598099</v>
      </c>
      <c r="M39" s="5">
        <v>0.22914272119203599</v>
      </c>
      <c r="N39" s="3">
        <v>1.024</v>
      </c>
      <c r="O39" s="23" t="s">
        <v>55</v>
      </c>
    </row>
    <row r="40" spans="1:15" x14ac:dyDescent="0.25">
      <c r="A40" s="1" t="s">
        <v>18</v>
      </c>
      <c r="B40" s="2">
        <v>38</v>
      </c>
      <c r="C40" s="3">
        <v>345450.10226199898</v>
      </c>
      <c r="D40" s="3">
        <v>6527217.9130100003</v>
      </c>
      <c r="E40" s="3" t="s">
        <v>19</v>
      </c>
      <c r="F40" s="2" t="s">
        <v>20</v>
      </c>
      <c r="G40" s="3">
        <v>2991.2690901211922</v>
      </c>
      <c r="H40" s="4">
        <v>61.508270474137895</v>
      </c>
      <c r="I40" s="4">
        <v>25.921729525862617</v>
      </c>
      <c r="J40" s="4">
        <v>12.569999999999482</v>
      </c>
      <c r="K40" s="5">
        <v>1.5053262463105399</v>
      </c>
      <c r="L40" s="5">
        <v>0.43195235988281505</v>
      </c>
      <c r="M40" s="5">
        <v>0.26763056988115402</v>
      </c>
      <c r="N40" s="3">
        <v>1.0780000000000001</v>
      </c>
      <c r="O40" s="23" t="s">
        <v>55</v>
      </c>
    </row>
    <row r="41" spans="1:15" x14ac:dyDescent="0.25">
      <c r="A41" s="1" t="s">
        <v>18</v>
      </c>
      <c r="B41" s="2">
        <v>39</v>
      </c>
      <c r="C41" s="3">
        <v>345525.71764699899</v>
      </c>
      <c r="D41" s="3">
        <v>6527217.9130100003</v>
      </c>
      <c r="E41" s="3" t="s">
        <v>19</v>
      </c>
      <c r="F41" s="2" t="s">
        <v>20</v>
      </c>
      <c r="G41" s="3">
        <v>786.62030833504082</v>
      </c>
      <c r="H41" s="4">
        <v>48.08392821535395</v>
      </c>
      <c r="I41" s="4">
        <v>33.716071784645834</v>
      </c>
      <c r="J41" s="4">
        <v>18.200000000000216</v>
      </c>
      <c r="K41" s="5">
        <v>1.3473231006495101</v>
      </c>
      <c r="L41" s="5">
        <v>0.49157618843414802</v>
      </c>
      <c r="M41" s="5">
        <v>0.24262022728157301</v>
      </c>
      <c r="N41" s="3">
        <v>0.47099999999999997</v>
      </c>
      <c r="O41" s="23" t="s">
        <v>55</v>
      </c>
    </row>
    <row r="42" spans="1:15" x14ac:dyDescent="0.25">
      <c r="A42" s="1" t="s">
        <v>18</v>
      </c>
      <c r="B42" s="2">
        <v>40</v>
      </c>
      <c r="C42" s="3">
        <v>345601.333030999</v>
      </c>
      <c r="D42" s="3">
        <v>6527217.9130100003</v>
      </c>
      <c r="E42" s="3" t="s">
        <v>19</v>
      </c>
      <c r="F42" s="2" t="s">
        <v>20</v>
      </c>
      <c r="G42" s="3">
        <v>29.404563903623039</v>
      </c>
      <c r="H42" s="4">
        <v>45.060705496308458</v>
      </c>
      <c r="I42" s="4">
        <v>27.617741318019867</v>
      </c>
      <c r="J42" s="4">
        <v>27.321553185671675</v>
      </c>
      <c r="K42" s="5">
        <v>1.62723440788013</v>
      </c>
      <c r="L42" s="5">
        <v>0.38594928004523504</v>
      </c>
      <c r="M42" s="5">
        <v>0.154026076802767</v>
      </c>
      <c r="N42" s="3">
        <v>1.1040000000000001</v>
      </c>
      <c r="O42" s="23" t="s">
        <v>53</v>
      </c>
    </row>
    <row r="43" spans="1:15" x14ac:dyDescent="0.25">
      <c r="A43" s="1" t="s">
        <v>18</v>
      </c>
      <c r="B43" s="2">
        <v>41</v>
      </c>
      <c r="C43" s="3">
        <v>345676.948416</v>
      </c>
      <c r="D43" s="3">
        <v>6527217.9130100003</v>
      </c>
      <c r="E43" s="3" t="s">
        <v>19</v>
      </c>
      <c r="F43" s="2" t="s">
        <v>20</v>
      </c>
      <c r="G43" s="3">
        <v>739.87843193779202</v>
      </c>
      <c r="H43" s="4">
        <v>47.292006319115323</v>
      </c>
      <c r="I43" s="4">
        <v>32.51248025276481</v>
      </c>
      <c r="J43" s="4">
        <v>20.195513428119867</v>
      </c>
      <c r="K43" s="5">
        <v>1.4921999043105201</v>
      </c>
      <c r="L43" s="5">
        <v>0.43690569648659505</v>
      </c>
      <c r="M43" s="5">
        <v>0.25376170298964901</v>
      </c>
      <c r="N43" s="3">
        <v>0.502</v>
      </c>
      <c r="O43" s="23" t="s">
        <v>55</v>
      </c>
    </row>
    <row r="44" spans="1:15" x14ac:dyDescent="0.25">
      <c r="A44" s="1" t="s">
        <v>18</v>
      </c>
      <c r="B44" s="2">
        <v>42</v>
      </c>
      <c r="C44" s="3">
        <v>345752.56380100001</v>
      </c>
      <c r="D44" s="3">
        <v>6527217.9130100003</v>
      </c>
      <c r="E44" s="3" t="s">
        <v>19</v>
      </c>
      <c r="F44" s="2" t="s">
        <v>20</v>
      </c>
      <c r="G44" s="3">
        <v>72.770371784076715</v>
      </c>
      <c r="H44" s="4">
        <v>44.691812248032249</v>
      </c>
      <c r="I44" s="4">
        <v>25.828187751967533</v>
      </c>
      <c r="J44" s="4">
        <v>29.480000000000217</v>
      </c>
      <c r="K44" s="5">
        <v>1.5251214518506799</v>
      </c>
      <c r="L44" s="5">
        <v>0.42448247099974196</v>
      </c>
      <c r="M44" s="5">
        <v>0.178882466228483</v>
      </c>
      <c r="N44" s="3">
        <v>1.2390000000000001</v>
      </c>
      <c r="O44" s="23" t="s">
        <v>55</v>
      </c>
    </row>
    <row r="45" spans="1:15" x14ac:dyDescent="0.25">
      <c r="A45" s="1" t="s">
        <v>18</v>
      </c>
      <c r="B45" s="2">
        <v>43</v>
      </c>
      <c r="C45" s="3">
        <v>345828.17918500002</v>
      </c>
      <c r="D45" s="3">
        <v>6527217.9130100003</v>
      </c>
      <c r="E45" s="3" t="s">
        <v>19</v>
      </c>
      <c r="F45" s="2" t="s">
        <v>20</v>
      </c>
      <c r="G45" s="3">
        <v>1611.0059396955601</v>
      </c>
      <c r="H45" s="4">
        <v>42.793490460157152</v>
      </c>
      <c r="I45" s="4">
        <v>21.786509539842967</v>
      </c>
      <c r="J45" s="4">
        <v>35.419999999999874</v>
      </c>
      <c r="K45" s="5">
        <v>1.3579825687840299</v>
      </c>
      <c r="L45" s="5">
        <v>0.48755374762866699</v>
      </c>
      <c r="M45" s="5">
        <v>0.26380572205306402</v>
      </c>
      <c r="N45" s="3">
        <v>1.1200000000000001</v>
      </c>
      <c r="O45" s="23" t="s">
        <v>55</v>
      </c>
    </row>
    <row r="46" spans="1:15" x14ac:dyDescent="0.25">
      <c r="A46" s="1" t="s">
        <v>18</v>
      </c>
      <c r="B46" s="2">
        <v>44</v>
      </c>
      <c r="C46" s="3">
        <v>344996.40995399898</v>
      </c>
      <c r="D46" s="3">
        <v>6527317.0668599904</v>
      </c>
      <c r="E46" s="3" t="s">
        <v>19</v>
      </c>
      <c r="F46" s="2" t="s">
        <v>20</v>
      </c>
      <c r="G46" s="3">
        <v>876.79255979140805</v>
      </c>
      <c r="H46" s="4">
        <v>47.969385388480873</v>
      </c>
      <c r="I46" s="4">
        <v>22.473616157711831</v>
      </c>
      <c r="J46" s="4">
        <v>29.556998453807296</v>
      </c>
      <c r="K46" s="5">
        <v>1.3916924376847899</v>
      </c>
      <c r="L46" s="5">
        <v>0.47483304238309998</v>
      </c>
      <c r="M46" s="5">
        <v>0.23962806125263</v>
      </c>
      <c r="N46" s="3">
        <v>1.34</v>
      </c>
      <c r="O46" s="23" t="s">
        <v>55</v>
      </c>
    </row>
    <row r="47" spans="1:15" x14ac:dyDescent="0.25">
      <c r="A47" s="1" t="s">
        <v>18</v>
      </c>
      <c r="B47" s="2">
        <v>45</v>
      </c>
      <c r="C47" s="3">
        <v>345147.640724</v>
      </c>
      <c r="D47" s="3">
        <v>6527317.0668599904</v>
      </c>
      <c r="E47" s="3" t="s">
        <v>19</v>
      </c>
      <c r="F47" s="2" t="s">
        <v>20</v>
      </c>
      <c r="G47" s="3">
        <v>4949.1161232203049</v>
      </c>
      <c r="H47" s="4">
        <v>49.197881559942246</v>
      </c>
      <c r="I47" s="4">
        <v>32.432118440057579</v>
      </c>
      <c r="J47" s="4">
        <v>18.370000000000175</v>
      </c>
      <c r="K47" s="5">
        <v>1.2164867167986599</v>
      </c>
      <c r="L47" s="5">
        <v>0.54094840875522399</v>
      </c>
      <c r="M47" s="5">
        <v>0.36426896935561603</v>
      </c>
      <c r="N47" s="3">
        <v>0.73499999999999999</v>
      </c>
      <c r="O47" s="23" t="s">
        <v>55</v>
      </c>
    </row>
    <row r="48" spans="1:15" x14ac:dyDescent="0.25">
      <c r="A48" s="1" t="s">
        <v>18</v>
      </c>
      <c r="B48" s="2">
        <v>46</v>
      </c>
      <c r="C48" s="3">
        <v>345223.256108</v>
      </c>
      <c r="D48" s="3">
        <v>6527317.0668599904</v>
      </c>
      <c r="E48" s="3" t="s">
        <v>19</v>
      </c>
      <c r="F48" s="2" t="s">
        <v>20</v>
      </c>
      <c r="G48" s="3">
        <v>797.28011266955275</v>
      </c>
      <c r="H48" s="4">
        <v>58.087562189054715</v>
      </c>
      <c r="I48" s="4">
        <v>32.762437810945642</v>
      </c>
      <c r="J48" s="4">
        <v>9.1499999999996362</v>
      </c>
      <c r="K48" s="5">
        <v>1.5439025088624601</v>
      </c>
      <c r="L48" s="5">
        <v>0.41739527967454199</v>
      </c>
      <c r="M48" s="5">
        <v>0.26884221329503999</v>
      </c>
      <c r="N48" s="3">
        <v>0.251</v>
      </c>
      <c r="O48" s="23" t="s">
        <v>55</v>
      </c>
    </row>
    <row r="49" spans="1:15" x14ac:dyDescent="0.25">
      <c r="A49" s="1" t="s">
        <v>18</v>
      </c>
      <c r="B49" s="2">
        <v>47</v>
      </c>
      <c r="C49" s="3">
        <v>345298.87149300001</v>
      </c>
      <c r="D49" s="3">
        <v>6527317.0668599904</v>
      </c>
      <c r="E49" s="3" t="s">
        <v>19</v>
      </c>
      <c r="F49" s="2" t="s">
        <v>20</v>
      </c>
      <c r="G49" s="3">
        <v>967.75863630197523</v>
      </c>
      <c r="H49" s="4">
        <v>56.503653738055093</v>
      </c>
      <c r="I49" s="4">
        <v>29.89634626194534</v>
      </c>
      <c r="J49" s="4">
        <v>13.599999999999568</v>
      </c>
      <c r="K49" s="5">
        <v>1.5594111086295801</v>
      </c>
      <c r="L49" s="5">
        <v>0.41154297787563204</v>
      </c>
      <c r="M49" s="5">
        <v>0.26192365889775099</v>
      </c>
      <c r="N49" s="3">
        <v>0.88800000000000001</v>
      </c>
      <c r="O49" s="23" t="s">
        <v>53</v>
      </c>
    </row>
    <row r="50" spans="1:15" x14ac:dyDescent="0.25">
      <c r="A50" s="1" t="s">
        <v>18</v>
      </c>
      <c r="B50" s="2">
        <v>48</v>
      </c>
      <c r="C50" s="3">
        <v>345374.48687700002</v>
      </c>
      <c r="D50" s="3">
        <v>6527317.0668599904</v>
      </c>
      <c r="E50" s="3" t="s">
        <v>19</v>
      </c>
      <c r="F50" s="2" t="s">
        <v>20</v>
      </c>
      <c r="G50" s="3">
        <v>1691.6545827817727</v>
      </c>
      <c r="H50" s="4">
        <v>47.934931113662451</v>
      </c>
      <c r="I50" s="4">
        <v>27.775068886337664</v>
      </c>
      <c r="J50" s="4">
        <v>24.289999999999878</v>
      </c>
      <c r="K50" s="5">
        <v>1.41122100018903</v>
      </c>
      <c r="L50" s="5">
        <v>0.46746377351357393</v>
      </c>
      <c r="M50" s="5">
        <v>0.28079085127152298</v>
      </c>
      <c r="N50" s="3">
        <v>0.57599999999999996</v>
      </c>
      <c r="O50" s="23" t="s">
        <v>54</v>
      </c>
    </row>
    <row r="51" spans="1:15" x14ac:dyDescent="0.25">
      <c r="A51" s="1" t="s">
        <v>18</v>
      </c>
      <c r="B51" s="2">
        <v>49</v>
      </c>
      <c r="C51" s="3">
        <v>345525.71764699899</v>
      </c>
      <c r="D51" s="3">
        <v>6527317.0668599904</v>
      </c>
      <c r="E51" s="3" t="s">
        <v>19</v>
      </c>
      <c r="F51" s="2" t="s">
        <v>20</v>
      </c>
      <c r="G51" s="3">
        <v>1180.8715490512225</v>
      </c>
      <c r="H51" s="4">
        <v>48.098029445073607</v>
      </c>
      <c r="I51" s="4">
        <v>31.256502831256693</v>
      </c>
      <c r="J51" s="4">
        <v>20.6454677236697</v>
      </c>
      <c r="K51" s="5">
        <v>1.39723521183549</v>
      </c>
      <c r="L51" s="5">
        <v>0.47274142949604198</v>
      </c>
      <c r="M51" s="5">
        <v>0.24702590338331301</v>
      </c>
      <c r="N51" s="3">
        <v>0.314</v>
      </c>
      <c r="O51" s="23" t="s">
        <v>55</v>
      </c>
    </row>
    <row r="52" spans="1:15" x14ac:dyDescent="0.25">
      <c r="A52" s="1" t="s">
        <v>18</v>
      </c>
      <c r="B52" s="2">
        <v>50</v>
      </c>
      <c r="C52" s="3">
        <v>345601.333030999</v>
      </c>
      <c r="D52" s="3">
        <v>6527317.0668599904</v>
      </c>
      <c r="E52" s="3" t="s">
        <v>19</v>
      </c>
      <c r="F52" s="2" t="s">
        <v>20</v>
      </c>
      <c r="G52" s="3">
        <v>1229.2179005935343</v>
      </c>
      <c r="H52" s="4">
        <v>40.065999309630641</v>
      </c>
      <c r="I52" s="4">
        <v>42.129161201242781</v>
      </c>
      <c r="J52" s="4">
        <v>17.804839489126582</v>
      </c>
      <c r="K52" s="5">
        <v>1.27281741008089</v>
      </c>
      <c r="L52" s="5">
        <v>0.519691543365701</v>
      </c>
      <c r="M52" s="5">
        <v>0.34432078078677003</v>
      </c>
      <c r="N52" s="3">
        <v>0.126</v>
      </c>
      <c r="O52" s="23" t="s">
        <v>54</v>
      </c>
    </row>
    <row r="53" spans="1:15" x14ac:dyDescent="0.25">
      <c r="A53" s="1" t="s">
        <v>18</v>
      </c>
      <c r="B53" s="2">
        <v>51</v>
      </c>
      <c r="C53" s="3">
        <v>345752.56380100001</v>
      </c>
      <c r="D53" s="3">
        <v>6527317.0668599904</v>
      </c>
      <c r="E53" s="3" t="s">
        <v>19</v>
      </c>
      <c r="F53" s="2" t="s">
        <v>20</v>
      </c>
      <c r="G53" s="3">
        <v>1263.0316712772935</v>
      </c>
      <c r="H53" s="4">
        <v>45.409711563905795</v>
      </c>
      <c r="I53" s="4">
        <v>23.320288436094955</v>
      </c>
      <c r="J53" s="4">
        <v>31.269999999999243</v>
      </c>
      <c r="K53" s="5">
        <v>1.4391941364702501</v>
      </c>
      <c r="L53" s="5">
        <v>0.456907873030095</v>
      </c>
      <c r="M53" s="5">
        <v>0.26975991755502604</v>
      </c>
      <c r="N53" s="3">
        <v>0.72499999999999998</v>
      </c>
      <c r="O53" s="23" t="s">
        <v>55</v>
      </c>
    </row>
    <row r="54" spans="1:15" x14ac:dyDescent="0.25">
      <c r="A54" s="1" t="s">
        <v>18</v>
      </c>
      <c r="B54" s="2">
        <v>52</v>
      </c>
      <c r="C54" s="3">
        <v>345828.17918500002</v>
      </c>
      <c r="D54" s="3">
        <v>6527317.0668599904</v>
      </c>
      <c r="E54" s="3" t="s">
        <v>19</v>
      </c>
      <c r="F54" s="2" t="s">
        <v>20</v>
      </c>
      <c r="G54" s="3">
        <v>591.91569207386158</v>
      </c>
      <c r="H54" s="4">
        <v>50.548706199460909</v>
      </c>
      <c r="I54" s="4">
        <v>27.281293800539245</v>
      </c>
      <c r="J54" s="4">
        <v>22.169999999999845</v>
      </c>
      <c r="K54" s="5">
        <v>1.5471002666962399</v>
      </c>
      <c r="L54" s="5">
        <v>0.41618857860519098</v>
      </c>
      <c r="M54" s="5">
        <v>0.210312222175945</v>
      </c>
      <c r="N54" s="3">
        <v>0.39400000000000002</v>
      </c>
      <c r="O54" s="23" t="s">
        <v>54</v>
      </c>
    </row>
    <row r="55" spans="1:15" x14ac:dyDescent="0.25">
      <c r="A55" s="1" t="s">
        <v>18</v>
      </c>
      <c r="B55" s="2">
        <v>53</v>
      </c>
      <c r="C55" s="3">
        <v>344996.40995399898</v>
      </c>
      <c r="D55" s="3">
        <v>6527416.2207000004</v>
      </c>
      <c r="E55" s="3" t="s">
        <v>19</v>
      </c>
      <c r="F55" s="2" t="s">
        <v>20</v>
      </c>
      <c r="G55" s="3">
        <v>1091.3129414565096</v>
      </c>
      <c r="H55" s="4">
        <v>53.196452728092588</v>
      </c>
      <c r="I55" s="4">
        <v>27.634480685405226</v>
      </c>
      <c r="J55" s="4">
        <v>19.169066586502186</v>
      </c>
      <c r="K55" s="5">
        <v>1.3750651592796099</v>
      </c>
      <c r="L55" s="5">
        <v>0.48110748706430001</v>
      </c>
      <c r="M55" s="5">
        <v>0.25657139243489202</v>
      </c>
      <c r="N55" s="3">
        <v>0.71799999999999997</v>
      </c>
      <c r="O55" s="23" t="s">
        <v>55</v>
      </c>
    </row>
    <row r="56" spans="1:15" x14ac:dyDescent="0.25">
      <c r="A56" s="1" t="s">
        <v>18</v>
      </c>
      <c r="B56" s="2">
        <v>54</v>
      </c>
      <c r="C56" s="3">
        <v>345072.025338999</v>
      </c>
      <c r="D56" s="3">
        <v>6527416.2207000004</v>
      </c>
      <c r="E56" s="3" t="s">
        <v>19</v>
      </c>
      <c r="F56" s="2" t="s">
        <v>20</v>
      </c>
      <c r="G56" s="3">
        <v>472.8669268506672</v>
      </c>
      <c r="H56" s="4">
        <v>47.493236582694422</v>
      </c>
      <c r="I56" s="4">
        <v>28.856763417305629</v>
      </c>
      <c r="J56" s="4">
        <v>23.649999999999949</v>
      </c>
      <c r="K56" s="5">
        <v>1.3282071683875101</v>
      </c>
      <c r="L56" s="5">
        <v>0.49878974777829799</v>
      </c>
      <c r="M56" s="5">
        <v>0.26302809307269004</v>
      </c>
      <c r="N56" s="3">
        <v>0.61</v>
      </c>
      <c r="O56" s="23" t="s">
        <v>54</v>
      </c>
    </row>
    <row r="57" spans="1:15" x14ac:dyDescent="0.25">
      <c r="A57" s="1" t="s">
        <v>18</v>
      </c>
      <c r="B57" s="2">
        <v>55</v>
      </c>
      <c r="C57" s="3">
        <v>345147.640724</v>
      </c>
      <c r="D57" s="3">
        <v>6527416.2207000004</v>
      </c>
      <c r="E57" s="3" t="s">
        <v>19</v>
      </c>
      <c r="F57" s="2" t="s">
        <v>20</v>
      </c>
      <c r="G57" s="3">
        <v>6410.7659790379921</v>
      </c>
      <c r="H57" s="4">
        <v>43.894494801386294</v>
      </c>
      <c r="I57" s="4">
        <v>26.776710210610581</v>
      </c>
      <c r="J57" s="4">
        <v>29.328794988003125</v>
      </c>
      <c r="K57" s="5">
        <v>0.95862672091566103</v>
      </c>
      <c r="L57" s="5">
        <v>0.63825406757899605</v>
      </c>
      <c r="M57" s="5">
        <v>0.42137265362722198</v>
      </c>
      <c r="N57" s="3">
        <v>1.397</v>
      </c>
      <c r="O57" s="23" t="s">
        <v>55</v>
      </c>
    </row>
    <row r="58" spans="1:15" x14ac:dyDescent="0.25">
      <c r="A58" s="1" t="s">
        <v>18</v>
      </c>
      <c r="B58" s="2">
        <v>56</v>
      </c>
      <c r="C58" s="3">
        <v>345298.87149300001</v>
      </c>
      <c r="D58" s="3">
        <v>6527416.2207000004</v>
      </c>
      <c r="E58" s="3" t="s">
        <v>19</v>
      </c>
      <c r="F58" s="2" t="s">
        <v>20</v>
      </c>
      <c r="G58" s="3">
        <v>2036.6559502745231</v>
      </c>
      <c r="H58" s="4">
        <v>56.867096385542176</v>
      </c>
      <c r="I58" s="4">
        <v>21.226665060241277</v>
      </c>
      <c r="J58" s="4">
        <v>21.906238554216547</v>
      </c>
      <c r="K58" s="5">
        <v>1.38650182248533</v>
      </c>
      <c r="L58" s="5">
        <v>0.47679176509987597</v>
      </c>
      <c r="M58" s="5">
        <v>0.28998503648135798</v>
      </c>
      <c r="N58" s="3">
        <v>0.98099999999999998</v>
      </c>
      <c r="O58" s="23" t="s">
        <v>55</v>
      </c>
    </row>
    <row r="59" spans="1:15" x14ac:dyDescent="0.25">
      <c r="A59" s="1" t="s">
        <v>18</v>
      </c>
      <c r="B59" s="2">
        <v>57</v>
      </c>
      <c r="C59" s="3">
        <v>345374.48687700002</v>
      </c>
      <c r="D59" s="3">
        <v>6527416.2207000004</v>
      </c>
      <c r="E59" s="3" t="s">
        <v>19</v>
      </c>
      <c r="F59" s="2" t="s">
        <v>20</v>
      </c>
      <c r="G59" s="3">
        <v>2264.1338744567306</v>
      </c>
      <c r="H59" s="4">
        <v>54.562471655328793</v>
      </c>
      <c r="I59" s="4">
        <v>31.60752834467111</v>
      </c>
      <c r="J59" s="4">
        <v>13.830000000000098</v>
      </c>
      <c r="K59" s="5">
        <v>1.4236400090808199</v>
      </c>
      <c r="L59" s="5">
        <v>0.46277735506384304</v>
      </c>
      <c r="M59" s="5">
        <v>0.29124662434290999</v>
      </c>
      <c r="N59" s="3">
        <v>0.68799999999999994</v>
      </c>
      <c r="O59" s="23" t="s">
        <v>55</v>
      </c>
    </row>
    <row r="60" spans="1:15" x14ac:dyDescent="0.25">
      <c r="A60" s="1" t="s">
        <v>18</v>
      </c>
      <c r="B60" s="2">
        <v>58</v>
      </c>
      <c r="C60" s="3">
        <v>345450.10226199898</v>
      </c>
      <c r="D60" s="3">
        <v>6527416.2207000004</v>
      </c>
      <c r="E60" s="3" t="s">
        <v>19</v>
      </c>
      <c r="F60" s="2" t="s">
        <v>20</v>
      </c>
      <c r="G60" s="3">
        <v>18.182763875082887</v>
      </c>
      <c r="H60" s="4">
        <v>43.613482587064688</v>
      </c>
      <c r="I60" s="4">
        <v>27.076517412935772</v>
      </c>
      <c r="J60" s="4">
        <v>29.309999999999548</v>
      </c>
      <c r="K60" s="5">
        <v>1.4393779064838099</v>
      </c>
      <c r="L60" s="5">
        <v>0.45683852585516499</v>
      </c>
      <c r="M60" s="5">
        <v>0.155400939795206</v>
      </c>
      <c r="N60" s="3">
        <v>0.69099999999999995</v>
      </c>
      <c r="O60" s="23" t="s">
        <v>55</v>
      </c>
    </row>
    <row r="61" spans="1:15" x14ac:dyDescent="0.25">
      <c r="A61" s="1" t="s">
        <v>18</v>
      </c>
      <c r="B61" s="2">
        <v>59</v>
      </c>
      <c r="C61" s="3">
        <v>345525.71764699899</v>
      </c>
      <c r="D61" s="3">
        <v>6527416.2207000004</v>
      </c>
      <c r="E61" s="3" t="s">
        <v>19</v>
      </c>
      <c r="F61" s="2" t="s">
        <v>20</v>
      </c>
      <c r="G61" s="3">
        <v>50.762776053115196</v>
      </c>
      <c r="H61" s="4">
        <v>40.964346504559259</v>
      </c>
      <c r="I61" s="4">
        <v>30.19099696048637</v>
      </c>
      <c r="J61" s="4">
        <v>28.844656534954371</v>
      </c>
      <c r="K61" s="5">
        <v>1.3768572284123499</v>
      </c>
      <c r="L61" s="5">
        <v>0.48043123456137998</v>
      </c>
      <c r="M61" s="5">
        <v>0.12799485926339899</v>
      </c>
      <c r="N61" s="3">
        <v>1.54</v>
      </c>
      <c r="O61" s="23" t="s">
        <v>55</v>
      </c>
    </row>
    <row r="62" spans="1:15" x14ac:dyDescent="0.25">
      <c r="A62" s="1" t="s">
        <v>18</v>
      </c>
      <c r="B62" s="2">
        <v>60</v>
      </c>
      <c r="C62" s="3">
        <v>345601.333030999</v>
      </c>
      <c r="D62" s="3">
        <v>6527416.2207000004</v>
      </c>
      <c r="E62" s="3" t="s">
        <v>19</v>
      </c>
      <c r="F62" s="2" t="s">
        <v>20</v>
      </c>
      <c r="G62" s="3">
        <v>2987.0987773576562</v>
      </c>
      <c r="H62" s="4">
        <v>51.140222114920327</v>
      </c>
      <c r="I62" s="4">
        <v>25.429777885079915</v>
      </c>
      <c r="J62" s="4">
        <v>23.429999999999751</v>
      </c>
      <c r="K62" s="5">
        <v>1.3115413457238201</v>
      </c>
      <c r="L62" s="5">
        <v>0.50507873746271004</v>
      </c>
      <c r="M62" s="5">
        <v>0.27185715946115896</v>
      </c>
      <c r="N62" s="3">
        <v>0.81100000000000005</v>
      </c>
      <c r="O62" s="23" t="s">
        <v>53</v>
      </c>
    </row>
    <row r="63" spans="1:15" x14ac:dyDescent="0.25">
      <c r="A63" s="1" t="s">
        <v>18</v>
      </c>
      <c r="B63" s="2">
        <v>61</v>
      </c>
      <c r="C63" s="3">
        <v>345676.948416</v>
      </c>
      <c r="D63" s="3">
        <v>6527416.2207000004</v>
      </c>
      <c r="E63" s="3" t="s">
        <v>19</v>
      </c>
      <c r="F63" s="2" t="s">
        <v>20</v>
      </c>
      <c r="G63" s="3">
        <v>2765.3940352573441</v>
      </c>
      <c r="H63" s="4">
        <v>43.072716558632877</v>
      </c>
      <c r="I63" s="4">
        <v>35.947283441366991</v>
      </c>
      <c r="J63" s="4">
        <v>20.980000000000132</v>
      </c>
      <c r="K63" s="5">
        <v>1.38917406981355</v>
      </c>
      <c r="L63" s="5">
        <v>0.47578336988168102</v>
      </c>
      <c r="M63" s="5">
        <v>0.23915332980756301</v>
      </c>
      <c r="N63" s="3">
        <v>0.75800000000000001</v>
      </c>
      <c r="O63" s="23" t="s">
        <v>53</v>
      </c>
    </row>
    <row r="64" spans="1:15" x14ac:dyDescent="0.25">
      <c r="A64" s="1" t="s">
        <v>18</v>
      </c>
      <c r="B64" s="2">
        <v>62</v>
      </c>
      <c r="C64" s="3">
        <v>345752.56380100001</v>
      </c>
      <c r="D64" s="3">
        <v>6527416.2207000004</v>
      </c>
      <c r="E64" s="3" t="s">
        <v>19</v>
      </c>
      <c r="F64" s="2" t="s">
        <v>20</v>
      </c>
      <c r="G64" s="3">
        <v>1321.2646571997768</v>
      </c>
      <c r="H64" s="4">
        <v>38.358760792280329</v>
      </c>
      <c r="I64" s="4">
        <v>31.150148975791812</v>
      </c>
      <c r="J64" s="4">
        <v>30.49109023192786</v>
      </c>
      <c r="K64" s="5">
        <v>1.3936813387073099</v>
      </c>
      <c r="L64" s="5">
        <v>0.47408251369535298</v>
      </c>
      <c r="M64" s="5">
        <v>0.23880097712693601</v>
      </c>
      <c r="N64" s="3">
        <v>1.68</v>
      </c>
      <c r="O64" s="23" t="s">
        <v>55</v>
      </c>
    </row>
    <row r="65" spans="1:15" x14ac:dyDescent="0.25">
      <c r="A65" s="1" t="s">
        <v>18</v>
      </c>
      <c r="B65" s="2">
        <v>63</v>
      </c>
      <c r="C65" s="3">
        <v>345828.17918500002</v>
      </c>
      <c r="D65" s="3">
        <v>6527416.2207000004</v>
      </c>
      <c r="E65" s="3" t="s">
        <v>19</v>
      </c>
      <c r="F65" s="2" t="s">
        <v>20</v>
      </c>
      <c r="G65" s="3">
        <v>174.54573498359184</v>
      </c>
      <c r="H65" s="4">
        <v>56.867096385542176</v>
      </c>
      <c r="I65" s="4">
        <v>20.962903614457986</v>
      </c>
      <c r="J65" s="4">
        <v>22.169999999999845</v>
      </c>
      <c r="K65" s="5">
        <v>1.61646738443048</v>
      </c>
      <c r="L65" s="5">
        <v>0.39001230776208501</v>
      </c>
      <c r="M65" s="5">
        <v>0.14948666689528201</v>
      </c>
      <c r="N65" s="3">
        <v>0.54400000000000004</v>
      </c>
      <c r="O65" s="23" t="s">
        <v>55</v>
      </c>
    </row>
    <row r="66" spans="1:15" x14ac:dyDescent="0.25">
      <c r="A66" s="1" t="s">
        <v>18</v>
      </c>
      <c r="B66" s="2">
        <v>64</v>
      </c>
      <c r="C66" s="3">
        <v>345147.640724</v>
      </c>
      <c r="D66" s="3">
        <v>6527515.3745499896</v>
      </c>
      <c r="E66" s="3" t="s">
        <v>19</v>
      </c>
      <c r="F66" s="2" t="s">
        <v>20</v>
      </c>
      <c r="G66" s="3">
        <v>2246.8377619275193</v>
      </c>
      <c r="H66" s="4">
        <v>63.20410284463896</v>
      </c>
      <c r="I66" s="4">
        <v>20.445897155361138</v>
      </c>
      <c r="J66" s="4">
        <v>16.349999999999909</v>
      </c>
      <c r="K66" s="5">
        <v>1.43965654935387</v>
      </c>
      <c r="L66" s="5">
        <v>0.45673337760231297</v>
      </c>
      <c r="M66" s="5">
        <v>0.255802097850307</v>
      </c>
      <c r="N66" s="3">
        <v>0.67500000000000004</v>
      </c>
      <c r="O66" s="23" t="s">
        <v>56</v>
      </c>
    </row>
    <row r="67" spans="1:15" x14ac:dyDescent="0.25">
      <c r="A67" s="1" t="s">
        <v>18</v>
      </c>
      <c r="B67" s="2">
        <v>65</v>
      </c>
      <c r="C67" s="3">
        <v>345223.256108</v>
      </c>
      <c r="D67" s="3">
        <v>6527515.3745499896</v>
      </c>
      <c r="E67" s="3" t="s">
        <v>19</v>
      </c>
      <c r="F67" s="2" t="s">
        <v>20</v>
      </c>
      <c r="G67" s="3">
        <v>4194.5877678065754</v>
      </c>
      <c r="H67" s="4">
        <v>47.96484555984555</v>
      </c>
      <c r="I67" s="4">
        <v>28.674783783783447</v>
      </c>
      <c r="J67" s="4">
        <v>23.360370656371003</v>
      </c>
      <c r="K67" s="5">
        <v>1.0467304492646301</v>
      </c>
      <c r="L67" s="5">
        <v>0.60500737763598911</v>
      </c>
      <c r="M67" s="5">
        <v>0.37025510359633101</v>
      </c>
      <c r="N67" s="3">
        <v>1.784</v>
      </c>
      <c r="O67" s="23" t="s">
        <v>56</v>
      </c>
    </row>
    <row r="68" spans="1:15" x14ac:dyDescent="0.25">
      <c r="A68" s="1" t="s">
        <v>18</v>
      </c>
      <c r="B68" s="2">
        <v>66</v>
      </c>
      <c r="C68" s="3">
        <v>345298.87149300001</v>
      </c>
      <c r="D68" s="3">
        <v>6527515.3745499896</v>
      </c>
      <c r="E68" s="3" t="s">
        <v>19</v>
      </c>
      <c r="F68" s="2" t="s">
        <v>20</v>
      </c>
      <c r="G68" s="3">
        <v>2814.0006921228237</v>
      </c>
      <c r="H68" s="4">
        <v>42.831026615969584</v>
      </c>
      <c r="I68" s="4">
        <v>35.250169835234473</v>
      </c>
      <c r="J68" s="4">
        <v>21.918803548795946</v>
      </c>
      <c r="K68" s="5">
        <v>1.0346908040621801</v>
      </c>
      <c r="L68" s="5">
        <v>0.60955063997653602</v>
      </c>
      <c r="M68" s="5">
        <v>0.38013654781622003</v>
      </c>
      <c r="N68" s="3">
        <v>2.6560000000000001</v>
      </c>
      <c r="O68" s="23" t="s">
        <v>55</v>
      </c>
    </row>
    <row r="69" spans="1:15" x14ac:dyDescent="0.25">
      <c r="A69" s="1" t="s">
        <v>18</v>
      </c>
      <c r="B69" s="2">
        <v>67</v>
      </c>
      <c r="C69" s="3">
        <v>345374.48687700002</v>
      </c>
      <c r="D69" s="3">
        <v>6527515.3745499896</v>
      </c>
      <c r="E69" s="3" t="s">
        <v>19</v>
      </c>
      <c r="F69" s="2" t="s">
        <v>20</v>
      </c>
      <c r="G69" s="3">
        <v>943.78086743106485</v>
      </c>
      <c r="H69" s="4">
        <v>52.378159340659337</v>
      </c>
      <c r="I69" s="4">
        <v>35.331840659341239</v>
      </c>
      <c r="J69" s="4">
        <v>12.289999999999424</v>
      </c>
      <c r="K69" s="5">
        <v>1.46632607218387</v>
      </c>
      <c r="L69" s="5">
        <v>0.44666940672306799</v>
      </c>
      <c r="M69" s="5">
        <v>0.27917280820956003</v>
      </c>
      <c r="N69" s="3">
        <v>0.224</v>
      </c>
      <c r="O69" s="23" t="s">
        <v>56</v>
      </c>
    </row>
    <row r="70" spans="1:15" x14ac:dyDescent="0.25">
      <c r="A70" s="1" t="s">
        <v>18</v>
      </c>
      <c r="B70" s="2">
        <v>68</v>
      </c>
      <c r="C70" s="3">
        <v>345450.10226199898</v>
      </c>
      <c r="D70" s="3">
        <v>6527515.3745499896</v>
      </c>
      <c r="E70" s="3" t="s">
        <v>19</v>
      </c>
      <c r="F70" s="2" t="s">
        <v>20</v>
      </c>
      <c r="G70" s="3">
        <v>2412.826968847824</v>
      </c>
      <c r="H70" s="4">
        <v>54.886967162961461</v>
      </c>
      <c r="I70" s="4">
        <v>25.189973485621145</v>
      </c>
      <c r="J70" s="4">
        <v>19.923059351417393</v>
      </c>
      <c r="K70" s="5">
        <v>1.3659877785541099</v>
      </c>
      <c r="L70" s="5">
        <v>0.48453291375316704</v>
      </c>
      <c r="M70" s="5">
        <v>0.31681856641441003</v>
      </c>
      <c r="N70" s="3">
        <v>0.39500000000000002</v>
      </c>
      <c r="O70" s="23" t="s">
        <v>56</v>
      </c>
    </row>
    <row r="71" spans="1:15" x14ac:dyDescent="0.25">
      <c r="A71" s="1" t="s">
        <v>18</v>
      </c>
      <c r="B71" s="2">
        <v>69</v>
      </c>
      <c r="C71" s="3">
        <v>345525.71764699899</v>
      </c>
      <c r="D71" s="3">
        <v>6527515.3745499896</v>
      </c>
      <c r="E71" s="3" t="s">
        <v>19</v>
      </c>
      <c r="F71" s="2" t="s">
        <v>20</v>
      </c>
      <c r="G71" s="3">
        <v>1802.4714513438048</v>
      </c>
      <c r="H71" s="4">
        <v>36.050764192139731</v>
      </c>
      <c r="I71" s="4">
        <v>21.029235807860118</v>
      </c>
      <c r="J71" s="4">
        <v>42.920000000000158</v>
      </c>
      <c r="K71" s="5">
        <v>1.1633193356601701</v>
      </c>
      <c r="L71" s="5">
        <v>0.56101157144899205</v>
      </c>
      <c r="M71" s="5">
        <v>0.35532837019837699</v>
      </c>
      <c r="N71" s="3">
        <v>1.4259999999999999</v>
      </c>
      <c r="O71" s="23" t="s">
        <v>55</v>
      </c>
    </row>
    <row r="72" spans="1:15" x14ac:dyDescent="0.25">
      <c r="A72" s="1" t="s">
        <v>18</v>
      </c>
      <c r="B72" s="2">
        <v>70</v>
      </c>
      <c r="C72" s="3">
        <v>345601.333030999</v>
      </c>
      <c r="D72" s="3">
        <v>6527515.3745499896</v>
      </c>
      <c r="E72" s="3" t="s">
        <v>19</v>
      </c>
      <c r="F72" s="2" t="s">
        <v>20</v>
      </c>
      <c r="G72" s="3">
        <v>661.76619857358719</v>
      </c>
      <c r="H72" s="4">
        <v>47.993421865348985</v>
      </c>
      <c r="I72" s="4">
        <v>30.506578134650681</v>
      </c>
      <c r="J72" s="4">
        <v>21.500000000000341</v>
      </c>
      <c r="K72" s="5">
        <v>1.31548090839786</v>
      </c>
      <c r="L72" s="5">
        <v>0.50359211003854198</v>
      </c>
      <c r="M72" s="5">
        <v>0.30042988707645102</v>
      </c>
      <c r="N72" s="3">
        <v>0.80800000000000005</v>
      </c>
      <c r="O72" s="23" t="s">
        <v>55</v>
      </c>
    </row>
    <row r="73" spans="1:15" x14ac:dyDescent="0.25">
      <c r="A73" s="1" t="s">
        <v>18</v>
      </c>
      <c r="B73" s="2">
        <v>71</v>
      </c>
      <c r="C73" s="3">
        <v>345676.948416</v>
      </c>
      <c r="D73" s="3">
        <v>6527515.3745499896</v>
      </c>
      <c r="E73" s="3" t="s">
        <v>19</v>
      </c>
      <c r="F73" s="2" t="s">
        <v>20</v>
      </c>
      <c r="G73" s="3">
        <v>7646.0395136249763</v>
      </c>
      <c r="H73" s="4">
        <v>52.182878270762231</v>
      </c>
      <c r="I73" s="4">
        <v>28.287121729238166</v>
      </c>
      <c r="J73" s="4">
        <v>19.529999999999603</v>
      </c>
      <c r="K73" s="5">
        <v>0.95772123577186896</v>
      </c>
      <c r="L73" s="5">
        <v>0.63859576008608698</v>
      </c>
      <c r="M73" s="5">
        <v>0.49603796324431598</v>
      </c>
      <c r="N73" s="3">
        <v>0.58099999999999996</v>
      </c>
      <c r="O73" s="23" t="s">
        <v>53</v>
      </c>
    </row>
    <row r="74" spans="1:15" x14ac:dyDescent="0.25">
      <c r="A74" s="1" t="s">
        <v>18</v>
      </c>
      <c r="B74" s="2">
        <v>72</v>
      </c>
      <c r="C74" s="3">
        <v>345223.256108</v>
      </c>
      <c r="D74" s="3">
        <v>6527614.5284000002</v>
      </c>
      <c r="E74" s="3" t="s">
        <v>19</v>
      </c>
      <c r="F74" s="2" t="s">
        <v>20</v>
      </c>
      <c r="G74" s="3">
        <v>975.10549120699204</v>
      </c>
      <c r="H74" s="4">
        <v>30.752467729688686</v>
      </c>
      <c r="I74" s="4">
        <v>50.958440901037783</v>
      </c>
      <c r="J74" s="4">
        <v>18.289091369273528</v>
      </c>
      <c r="K74" s="5">
        <v>1.44684944389299</v>
      </c>
      <c r="L74" s="5">
        <v>0.45401907777623196</v>
      </c>
      <c r="M74" s="5">
        <v>0.28367827225808301</v>
      </c>
      <c r="N74" s="3">
        <v>0.95499999999999996</v>
      </c>
      <c r="O74" s="23" t="s">
        <v>53</v>
      </c>
    </row>
    <row r="75" spans="1:15" x14ac:dyDescent="0.25">
      <c r="A75" s="1" t="s">
        <v>18</v>
      </c>
      <c r="B75" s="2">
        <v>73</v>
      </c>
      <c r="C75" s="3">
        <v>345298.87149300001</v>
      </c>
      <c r="D75" s="3">
        <v>6527614.5284000002</v>
      </c>
      <c r="E75" s="3" t="s">
        <v>19</v>
      </c>
      <c r="F75" s="2" t="s">
        <v>20</v>
      </c>
      <c r="G75" s="3">
        <v>2249.261353430803</v>
      </c>
      <c r="H75" s="4">
        <v>42.078630136986312</v>
      </c>
      <c r="I75" s="4">
        <v>30.941369863013335</v>
      </c>
      <c r="J75" s="4">
        <v>26.980000000000359</v>
      </c>
      <c r="K75" s="5">
        <v>1.17634605459885</v>
      </c>
      <c r="L75" s="5">
        <v>0.556095828453264</v>
      </c>
      <c r="M75" s="5">
        <v>0.34861363747366397</v>
      </c>
      <c r="N75" s="3">
        <v>1.3540000000000001</v>
      </c>
      <c r="O75" s="23" t="s">
        <v>55</v>
      </c>
    </row>
    <row r="76" spans="1:15" x14ac:dyDescent="0.25">
      <c r="A76" s="1" t="s">
        <v>18</v>
      </c>
      <c r="B76" s="2">
        <v>74</v>
      </c>
      <c r="C76" s="3">
        <v>345374.48687700002</v>
      </c>
      <c r="D76" s="3">
        <v>6527614.5284000002</v>
      </c>
      <c r="E76" s="3" t="s">
        <v>19</v>
      </c>
      <c r="F76" s="2" t="s">
        <v>20</v>
      </c>
      <c r="G76" s="3">
        <v>4721.9333321100239</v>
      </c>
      <c r="H76" s="4">
        <v>59.667171470444544</v>
      </c>
      <c r="I76" s="4">
        <v>24.092828529555646</v>
      </c>
      <c r="J76" s="4">
        <v>16.23999999999981</v>
      </c>
      <c r="K76" s="5">
        <v>1.2584681123727599</v>
      </c>
      <c r="L76" s="5">
        <v>0.52510637268952598</v>
      </c>
      <c r="M76" s="5">
        <v>0.33992802444532699</v>
      </c>
      <c r="N76" s="3">
        <v>1.506</v>
      </c>
      <c r="O76" s="23" t="s">
        <v>55</v>
      </c>
    </row>
    <row r="77" spans="1:15" x14ac:dyDescent="0.25">
      <c r="A77" s="1" t="s">
        <v>18</v>
      </c>
      <c r="B77" s="2">
        <v>75</v>
      </c>
      <c r="C77" s="3">
        <v>345450.10226199898</v>
      </c>
      <c r="D77" s="3">
        <v>6527614.5284000002</v>
      </c>
      <c r="E77" s="3" t="s">
        <v>19</v>
      </c>
      <c r="F77" s="2" t="s">
        <v>20</v>
      </c>
      <c r="G77" s="3">
        <v>4341.4457277439678</v>
      </c>
      <c r="H77" s="4">
        <v>58.204094827586204</v>
      </c>
      <c r="I77" s="4">
        <v>27.395905172413961</v>
      </c>
      <c r="J77" s="4">
        <v>14.399999999999835</v>
      </c>
      <c r="K77" s="5">
        <v>1.4005950619142999</v>
      </c>
      <c r="L77" s="5">
        <v>0.471473561541774</v>
      </c>
      <c r="M77" s="5">
        <v>0.314536775261549</v>
      </c>
      <c r="N77" s="3">
        <v>0.98099999999999998</v>
      </c>
      <c r="O77" s="23" t="s">
        <v>55</v>
      </c>
    </row>
    <row r="78" spans="1:15" x14ac:dyDescent="0.25">
      <c r="A78" s="1" t="s">
        <v>18</v>
      </c>
      <c r="B78" s="2">
        <v>76</v>
      </c>
      <c r="C78" s="3">
        <v>345525.71764699899</v>
      </c>
      <c r="D78" s="3">
        <v>6527614.5284000002</v>
      </c>
      <c r="E78" s="3" t="s">
        <v>19</v>
      </c>
      <c r="F78" s="2" t="s">
        <v>20</v>
      </c>
      <c r="G78" s="3">
        <v>1365.8613548133742</v>
      </c>
      <c r="H78" s="4">
        <v>51.845851695727156</v>
      </c>
      <c r="I78" s="4">
        <v>25.614148304272788</v>
      </c>
      <c r="J78" s="4">
        <v>22.540000000000049</v>
      </c>
      <c r="K78" s="5">
        <v>0.90299742208556599</v>
      </c>
      <c r="L78" s="5">
        <v>0.65924625581676788</v>
      </c>
      <c r="M78" s="5">
        <v>0.18380690451623299</v>
      </c>
      <c r="N78" s="3">
        <v>1.01</v>
      </c>
      <c r="O78" s="23" t="s">
        <v>54</v>
      </c>
    </row>
    <row r="79" spans="1:15" x14ac:dyDescent="0.25">
      <c r="A79" s="1" t="s">
        <v>18</v>
      </c>
      <c r="B79" s="2">
        <v>77</v>
      </c>
      <c r="C79" s="3">
        <v>345601.333030999</v>
      </c>
      <c r="D79" s="3">
        <v>6527614.5284000002</v>
      </c>
      <c r="E79" s="3" t="s">
        <v>19</v>
      </c>
      <c r="F79" s="2" t="s">
        <v>20</v>
      </c>
      <c r="G79" s="3">
        <v>4895.2352036838238</v>
      </c>
      <c r="H79" s="4">
        <v>49.782673796791435</v>
      </c>
      <c r="I79" s="4">
        <v>27.867326203208421</v>
      </c>
      <c r="J79" s="4">
        <v>22.350000000000136</v>
      </c>
      <c r="K79" s="5">
        <v>1.2777875105330001</v>
      </c>
      <c r="L79" s="5">
        <v>0.51781603376112995</v>
      </c>
      <c r="M79" s="5">
        <v>0.359595038784921</v>
      </c>
      <c r="N79" s="3">
        <v>0.60899999999999999</v>
      </c>
      <c r="O79" s="23" t="s">
        <v>54</v>
      </c>
    </row>
    <row r="80" spans="1:15" x14ac:dyDescent="0.25">
      <c r="A80" s="1" t="s">
        <v>18</v>
      </c>
      <c r="B80" s="2">
        <v>78</v>
      </c>
      <c r="C80" s="3">
        <v>345298.87149300001</v>
      </c>
      <c r="D80" s="3">
        <v>6527713.68224</v>
      </c>
      <c r="E80" s="3" t="s">
        <v>19</v>
      </c>
      <c r="F80" s="2" t="s">
        <v>20</v>
      </c>
      <c r="G80" s="3">
        <v>577.53025411043041</v>
      </c>
      <c r="H80" s="4">
        <v>49.227707808564226</v>
      </c>
      <c r="I80" s="4">
        <v>32.801396185677774</v>
      </c>
      <c r="J80" s="4">
        <v>17.970896005758</v>
      </c>
      <c r="K80" s="5">
        <v>1.5091214982861501</v>
      </c>
      <c r="L80" s="5">
        <v>0.43052018932598002</v>
      </c>
      <c r="M80" s="5">
        <v>0.24349511901160198</v>
      </c>
      <c r="N80" s="3">
        <v>1.248</v>
      </c>
      <c r="O80" s="23" t="s">
        <v>55</v>
      </c>
    </row>
    <row r="81" spans="1:15" x14ac:dyDescent="0.25">
      <c r="A81" s="1" t="s">
        <v>18</v>
      </c>
      <c r="B81" s="2">
        <v>79</v>
      </c>
      <c r="C81" s="3">
        <v>345374.48687700002</v>
      </c>
      <c r="D81" s="3">
        <v>6527713.68224</v>
      </c>
      <c r="E81" s="3" t="s">
        <v>19</v>
      </c>
      <c r="F81" s="2" t="s">
        <v>20</v>
      </c>
      <c r="G81" s="3">
        <v>352.10094802640396</v>
      </c>
      <c r="H81" s="4">
        <v>47.546740128558319</v>
      </c>
      <c r="I81" s="4">
        <v>34.213259871442261</v>
      </c>
      <c r="J81" s="4">
        <v>18.239999999999412</v>
      </c>
      <c r="K81" s="5">
        <v>1.45643045100823</v>
      </c>
      <c r="L81" s="5">
        <v>0.45040360339312002</v>
      </c>
      <c r="M81" s="5">
        <v>0.22569781608966402</v>
      </c>
      <c r="N81" s="3">
        <v>0.8</v>
      </c>
      <c r="O81" s="23" t="s">
        <v>55</v>
      </c>
    </row>
    <row r="82" spans="1:15" x14ac:dyDescent="0.25">
      <c r="A82" s="1" t="s">
        <v>18</v>
      </c>
      <c r="B82" s="2">
        <v>80</v>
      </c>
      <c r="C82" s="3">
        <v>345450.10226199898</v>
      </c>
      <c r="D82" s="3">
        <v>6527713.68224</v>
      </c>
      <c r="E82" s="3" t="s">
        <v>19</v>
      </c>
      <c r="F82" s="2" t="s">
        <v>20</v>
      </c>
      <c r="G82" s="3">
        <v>1018.424879785548</v>
      </c>
      <c r="H82" s="4">
        <v>57.864732142857129</v>
      </c>
      <c r="I82" s="4">
        <v>27.471473214285702</v>
      </c>
      <c r="J82" s="4">
        <v>14.663794642857168</v>
      </c>
      <c r="K82" s="5">
        <v>1.3426331701218499</v>
      </c>
      <c r="L82" s="5">
        <v>0.49334597353892301</v>
      </c>
      <c r="M82" s="5">
        <v>0.31570764772724397</v>
      </c>
      <c r="N82" s="3">
        <v>0.41199999999999998</v>
      </c>
      <c r="O82" s="23" t="s">
        <v>54</v>
      </c>
    </row>
    <row r="83" spans="1:15" x14ac:dyDescent="0.25">
      <c r="A83" s="1" t="s">
        <v>18</v>
      </c>
      <c r="B83" s="2">
        <v>81</v>
      </c>
      <c r="C83" s="3">
        <v>345525.71764699899</v>
      </c>
      <c r="D83" s="3">
        <v>6527713.68224</v>
      </c>
      <c r="E83" s="3" t="s">
        <v>19</v>
      </c>
      <c r="F83" s="2" t="s">
        <v>20</v>
      </c>
      <c r="G83" s="3">
        <v>1498.7410114608192</v>
      </c>
      <c r="H83" s="4">
        <v>55.603848955803784</v>
      </c>
      <c r="I83" s="4">
        <v>29.328975230694759</v>
      </c>
      <c r="J83" s="4">
        <v>15.067175813501457</v>
      </c>
      <c r="K83" s="5">
        <v>1.3751978005324199</v>
      </c>
      <c r="L83" s="5">
        <v>0.48105743376135296</v>
      </c>
      <c r="M83" s="5">
        <v>0.33114770648623698</v>
      </c>
      <c r="N83" s="3">
        <v>0.49399999999999999</v>
      </c>
      <c r="O83" s="23" t="s">
        <v>53</v>
      </c>
    </row>
    <row r="84" spans="1:15" x14ac:dyDescent="0.25">
      <c r="A84" s="1" t="s">
        <v>18</v>
      </c>
      <c r="B84" s="2">
        <v>82</v>
      </c>
      <c r="C84" s="3">
        <v>345601.333030999</v>
      </c>
      <c r="D84" s="3">
        <v>6527713.68224</v>
      </c>
      <c r="E84" s="3" t="s">
        <v>19</v>
      </c>
      <c r="F84" s="2" t="s">
        <v>20</v>
      </c>
      <c r="G84" s="3">
        <v>617.06212310055844</v>
      </c>
      <c r="H84" s="4">
        <v>53.548006999805551</v>
      </c>
      <c r="I84" s="4">
        <v>29.213381294963575</v>
      </c>
      <c r="J84" s="4">
        <v>17.238611705230873</v>
      </c>
      <c r="K84" s="5">
        <v>1.4439788438438499</v>
      </c>
      <c r="L84" s="5">
        <v>0.45510232307779402</v>
      </c>
      <c r="M84" s="5">
        <v>0.25072277924841102</v>
      </c>
      <c r="N84" s="3">
        <v>0.69099999999999995</v>
      </c>
      <c r="O84" s="23" t="s">
        <v>55</v>
      </c>
    </row>
    <row r="85" spans="1:15" x14ac:dyDescent="0.25">
      <c r="A85" s="1" t="s">
        <v>18</v>
      </c>
      <c r="B85" s="2">
        <v>83</v>
      </c>
      <c r="C85" s="3">
        <v>345223.256108</v>
      </c>
      <c r="D85" s="3">
        <v>6527812.8360900003</v>
      </c>
      <c r="E85" s="3" t="s">
        <v>19</v>
      </c>
      <c r="F85" s="2" t="s">
        <v>20</v>
      </c>
      <c r="G85" s="3">
        <v>1968.8742725105471</v>
      </c>
      <c r="H85" s="4">
        <v>48.228382838283821</v>
      </c>
      <c r="I85" s="4">
        <v>27.464917491749326</v>
      </c>
      <c r="J85" s="4">
        <v>24.306699669966854</v>
      </c>
      <c r="K85" s="5">
        <v>1.4216366066566399</v>
      </c>
      <c r="L85" s="5">
        <v>0.46353335597862594</v>
      </c>
      <c r="M85" s="5">
        <v>0.25220751739582697</v>
      </c>
      <c r="N85" s="3">
        <v>1.76</v>
      </c>
      <c r="O85" s="23" t="s">
        <v>54</v>
      </c>
    </row>
    <row r="86" spans="1:15" x14ac:dyDescent="0.25">
      <c r="A86" s="1" t="s">
        <v>18</v>
      </c>
      <c r="B86" s="2">
        <v>84</v>
      </c>
      <c r="C86" s="3">
        <v>345298.87149300001</v>
      </c>
      <c r="D86" s="3">
        <v>6527812.8360900003</v>
      </c>
      <c r="E86" s="3" t="s">
        <v>19</v>
      </c>
      <c r="F86" s="2" t="s">
        <v>20</v>
      </c>
      <c r="G86" s="3">
        <v>271.88313528184801</v>
      </c>
      <c r="H86" s="4">
        <v>30.22275872916013</v>
      </c>
      <c r="I86" s="4">
        <v>17.071308587606261</v>
      </c>
      <c r="J86" s="4">
        <v>52.705932683233605</v>
      </c>
      <c r="K86" s="5">
        <v>1.3562600805210001</v>
      </c>
      <c r="L86" s="5">
        <v>0.48820374319962395</v>
      </c>
      <c r="M86" s="5">
        <v>0.19651389002647998</v>
      </c>
      <c r="N86" s="3">
        <v>1.728</v>
      </c>
      <c r="O86" s="23" t="s">
        <v>54</v>
      </c>
    </row>
    <row r="87" spans="1:15" x14ac:dyDescent="0.25">
      <c r="A87" s="1" t="s">
        <v>18</v>
      </c>
      <c r="B87" s="2">
        <v>85</v>
      </c>
      <c r="C87" s="3">
        <v>345374.48687700002</v>
      </c>
      <c r="D87" s="3">
        <v>6527812.8360900003</v>
      </c>
      <c r="E87" s="3" t="s">
        <v>19</v>
      </c>
      <c r="F87" s="2" t="s">
        <v>20</v>
      </c>
      <c r="G87" s="3">
        <v>2647.9756010868</v>
      </c>
      <c r="H87" s="4">
        <v>58.592511627906973</v>
      </c>
      <c r="I87" s="4">
        <v>29.477488372093475</v>
      </c>
      <c r="J87" s="4">
        <v>11.929999999999552</v>
      </c>
      <c r="K87" s="5">
        <v>1.51735585307028</v>
      </c>
      <c r="L87" s="5">
        <v>0.42741288563385504</v>
      </c>
      <c r="M87" s="5">
        <v>0.29607475878989503</v>
      </c>
      <c r="N87" s="3">
        <v>0.46</v>
      </c>
      <c r="O87" s="23" t="s">
        <v>53</v>
      </c>
    </row>
    <row r="88" spans="1:15" x14ac:dyDescent="0.25">
      <c r="A88" s="1" t="s">
        <v>18</v>
      </c>
      <c r="B88" s="2">
        <v>86</v>
      </c>
      <c r="C88" s="3">
        <v>345450.10226199898</v>
      </c>
      <c r="D88" s="3">
        <v>6527812.8360900003</v>
      </c>
      <c r="E88" s="3" t="s">
        <v>19</v>
      </c>
      <c r="F88" s="2" t="s">
        <v>20</v>
      </c>
      <c r="G88" s="3">
        <v>1215.5263010432714</v>
      </c>
      <c r="H88" s="4">
        <v>44.996267190569746</v>
      </c>
      <c r="I88" s="4">
        <v>34.303418467583384</v>
      </c>
      <c r="J88" s="4">
        <v>20.70031434184687</v>
      </c>
      <c r="K88" s="5">
        <v>1.2691632296887001</v>
      </c>
      <c r="L88" s="5">
        <v>0.52107047936275297</v>
      </c>
      <c r="M88" s="5">
        <v>0.28514121779881202</v>
      </c>
      <c r="N88" s="3">
        <v>1.1839999999999999</v>
      </c>
      <c r="O88" s="23" t="s">
        <v>55</v>
      </c>
    </row>
    <row r="89" spans="1:15" x14ac:dyDescent="0.25">
      <c r="A89" s="1" t="s">
        <v>18</v>
      </c>
      <c r="B89" s="2">
        <v>87</v>
      </c>
      <c r="C89" s="3">
        <v>345525.71764699899</v>
      </c>
      <c r="D89" s="3">
        <v>6527812.8360900003</v>
      </c>
      <c r="E89" s="3" t="s">
        <v>19</v>
      </c>
      <c r="F89" s="2" t="s">
        <v>20</v>
      </c>
      <c r="G89" s="3">
        <v>4983.8347769267521</v>
      </c>
      <c r="H89" s="4">
        <v>56.993312279398104</v>
      </c>
      <c r="I89" s="4">
        <v>25.333717258034888</v>
      </c>
      <c r="J89" s="4">
        <v>17.672970462567008</v>
      </c>
      <c r="K89" s="5">
        <v>1.38633307987002</v>
      </c>
      <c r="L89" s="5">
        <v>0.47685544155848503</v>
      </c>
      <c r="M89" s="5">
        <v>0.33332535267712304</v>
      </c>
      <c r="N89" s="3">
        <v>0.91900000000000004</v>
      </c>
      <c r="O89" s="23" t="s">
        <v>53</v>
      </c>
    </row>
    <row r="90" spans="1:15" x14ac:dyDescent="0.25">
      <c r="A90" s="1" t="s">
        <v>18</v>
      </c>
      <c r="B90" s="2">
        <v>88</v>
      </c>
      <c r="C90" s="3">
        <v>345601.333030999</v>
      </c>
      <c r="D90" s="3">
        <v>6527812.8360900003</v>
      </c>
      <c r="E90" s="3" t="s">
        <v>19</v>
      </c>
      <c r="F90" s="2" t="s">
        <v>20</v>
      </c>
      <c r="G90" s="3">
        <v>1263.5869928041416</v>
      </c>
      <c r="H90" s="4">
        <v>39.595641091001774</v>
      </c>
      <c r="I90" s="4">
        <v>26.909148610757249</v>
      </c>
      <c r="J90" s="4">
        <v>33.495210298240977</v>
      </c>
      <c r="K90" s="5">
        <v>1.13069249873336</v>
      </c>
      <c r="L90" s="5">
        <v>0.57332358538363792</v>
      </c>
      <c r="M90" s="5">
        <v>0.36210848374163496</v>
      </c>
      <c r="N90" s="3">
        <v>0.97599999999999998</v>
      </c>
      <c r="O90" s="23" t="s">
        <v>55</v>
      </c>
    </row>
    <row r="91" spans="1:15" x14ac:dyDescent="0.25">
      <c r="A91" s="1" t="s">
        <v>18</v>
      </c>
      <c r="B91" s="2">
        <v>89</v>
      </c>
      <c r="C91" s="3">
        <v>345147.640724</v>
      </c>
      <c r="D91" s="3">
        <v>6527911.9899300002</v>
      </c>
      <c r="E91" s="3" t="s">
        <v>19</v>
      </c>
      <c r="F91" s="2" t="s">
        <v>20</v>
      </c>
      <c r="G91" s="3">
        <v>2361.8716643545345</v>
      </c>
      <c r="H91" s="4">
        <v>50.364143704220425</v>
      </c>
      <c r="I91" s="4">
        <v>44.920265085455689</v>
      </c>
      <c r="J91" s="4">
        <v>4.7155912103238835</v>
      </c>
      <c r="K91" s="5">
        <v>1.3431353898824201</v>
      </c>
      <c r="L91" s="5">
        <v>0.49315645664814201</v>
      </c>
      <c r="M91" s="5">
        <v>0.312764871814803</v>
      </c>
      <c r="N91" s="3">
        <v>1.522</v>
      </c>
      <c r="O91" s="23" t="s">
        <v>56</v>
      </c>
    </row>
    <row r="92" spans="1:15" x14ac:dyDescent="0.25">
      <c r="A92" s="1" t="s">
        <v>18</v>
      </c>
      <c r="B92" s="2">
        <v>90</v>
      </c>
      <c r="C92" s="3">
        <v>345223.256108</v>
      </c>
      <c r="D92" s="3">
        <v>6527911.9899300002</v>
      </c>
      <c r="E92" s="3" t="s">
        <v>19</v>
      </c>
      <c r="F92" s="2" t="s">
        <v>20</v>
      </c>
      <c r="G92" s="3">
        <v>956.66635486829762</v>
      </c>
      <c r="H92" s="4">
        <v>38.926050420168075</v>
      </c>
      <c r="I92" s="4">
        <v>19.74518607442954</v>
      </c>
      <c r="J92" s="4">
        <v>41.328763505402385</v>
      </c>
      <c r="K92" s="5">
        <v>1.3836116670909999</v>
      </c>
      <c r="L92" s="5">
        <v>0.477882389776982</v>
      </c>
      <c r="M92" s="5">
        <v>0.21073282550418798</v>
      </c>
      <c r="N92" s="3">
        <v>1.071</v>
      </c>
      <c r="O92" s="23" t="s">
        <v>55</v>
      </c>
    </row>
    <row r="93" spans="1:15" x14ac:dyDescent="0.25">
      <c r="A93" s="1" t="s">
        <v>18</v>
      </c>
      <c r="B93" s="2">
        <v>91</v>
      </c>
      <c r="C93" s="3">
        <v>345298.87149300001</v>
      </c>
      <c r="D93" s="3">
        <v>6527911.9899300002</v>
      </c>
      <c r="E93" s="3" t="s">
        <v>19</v>
      </c>
      <c r="F93" s="2" t="s">
        <v>20</v>
      </c>
      <c r="G93" s="3">
        <v>22.01303667835397</v>
      </c>
      <c r="H93" s="4">
        <v>41.541789137380171</v>
      </c>
      <c r="I93" s="4">
        <v>34.348210862620249</v>
      </c>
      <c r="J93" s="4">
        <v>24.109999999999587</v>
      </c>
      <c r="K93" s="5">
        <v>1.2762058014275699</v>
      </c>
      <c r="L93" s="5">
        <v>0.51841290512167193</v>
      </c>
      <c r="M93" s="5">
        <v>0.23730642673909197</v>
      </c>
      <c r="N93" s="3">
        <v>1.3149999999999999</v>
      </c>
      <c r="O93" s="23" t="s">
        <v>56</v>
      </c>
    </row>
    <row r="94" spans="1:15" x14ac:dyDescent="0.25">
      <c r="A94" s="1" t="s">
        <v>18</v>
      </c>
      <c r="B94" s="2">
        <v>92</v>
      </c>
      <c r="C94" s="3">
        <v>345374.48687700002</v>
      </c>
      <c r="D94" s="3">
        <v>6527911.9899300002</v>
      </c>
      <c r="E94" s="3" t="s">
        <v>19</v>
      </c>
      <c r="F94" s="2" t="s">
        <v>20</v>
      </c>
      <c r="G94" s="3">
        <v>3478.3927635148802</v>
      </c>
      <c r="H94" s="4">
        <v>56.301291409320612</v>
      </c>
      <c r="I94" s="4">
        <v>31.038708590679761</v>
      </c>
      <c r="J94" s="4">
        <v>12.659999999999627</v>
      </c>
      <c r="K94" s="5">
        <v>1.40522429107937</v>
      </c>
      <c r="L94" s="5">
        <v>0.46972668261155603</v>
      </c>
      <c r="M94" s="5">
        <v>0.31563180110746603</v>
      </c>
      <c r="N94" s="3">
        <v>0.59499999999999997</v>
      </c>
      <c r="O94" s="23" t="s">
        <v>55</v>
      </c>
    </row>
    <row r="95" spans="1:15" x14ac:dyDescent="0.25">
      <c r="A95" s="1" t="s">
        <v>18</v>
      </c>
      <c r="B95" s="2">
        <v>93</v>
      </c>
      <c r="C95" s="3">
        <v>345450.10226199898</v>
      </c>
      <c r="D95" s="3">
        <v>6527911.9899300002</v>
      </c>
      <c r="E95" s="3" t="s">
        <v>19</v>
      </c>
      <c r="F95" s="2" t="s">
        <v>20</v>
      </c>
      <c r="G95" s="3">
        <v>1486.6617828400658</v>
      </c>
      <c r="H95" s="4">
        <v>52.515145742046109</v>
      </c>
      <c r="I95" s="4">
        <v>31.154854257953929</v>
      </c>
      <c r="J95" s="4">
        <v>16.329999999999956</v>
      </c>
      <c r="K95" s="5">
        <v>1.4328780623603801</v>
      </c>
      <c r="L95" s="5">
        <v>0.45929129722249895</v>
      </c>
      <c r="M95" s="5">
        <v>0.27857285078231397</v>
      </c>
      <c r="N95" s="3">
        <v>0.34599999999999997</v>
      </c>
      <c r="O95" s="23" t="s">
        <v>55</v>
      </c>
    </row>
    <row r="96" spans="1:15" x14ac:dyDescent="0.25">
      <c r="A96" s="1" t="s">
        <v>18</v>
      </c>
      <c r="B96" s="2">
        <v>94</v>
      </c>
      <c r="C96" s="3">
        <v>345525.71764699899</v>
      </c>
      <c r="D96" s="3">
        <v>6527911.9899300002</v>
      </c>
      <c r="E96" s="3" t="s">
        <v>19</v>
      </c>
      <c r="F96" s="2" t="s">
        <v>20</v>
      </c>
      <c r="G96" s="3">
        <v>938.10549951155519</v>
      </c>
      <c r="H96" s="4">
        <v>41.746457085828354</v>
      </c>
      <c r="I96" s="4">
        <v>35.107395209580574</v>
      </c>
      <c r="J96" s="4">
        <v>23.146147704591073</v>
      </c>
      <c r="K96" s="5">
        <v>1.15514899361464</v>
      </c>
      <c r="L96" s="5">
        <v>0.56409471939070299</v>
      </c>
      <c r="M96" s="5">
        <v>0.2811720061131</v>
      </c>
      <c r="N96" s="3">
        <v>0.82399999999999995</v>
      </c>
      <c r="O96" s="23" t="s">
        <v>55</v>
      </c>
    </row>
    <row r="97" spans="1:15" x14ac:dyDescent="0.25">
      <c r="A97" s="1" t="s">
        <v>18</v>
      </c>
      <c r="B97" s="2">
        <v>95</v>
      </c>
      <c r="C97" s="3">
        <v>345298.87149300001</v>
      </c>
      <c r="D97" s="3">
        <v>6528011.1437799903</v>
      </c>
      <c r="E97" s="3" t="s">
        <v>19</v>
      </c>
      <c r="F97" s="2" t="s">
        <v>20</v>
      </c>
      <c r="G97" s="3">
        <v>2173.7998358431896</v>
      </c>
      <c r="H97" s="4">
        <v>49.508293838862571</v>
      </c>
      <c r="I97" s="4">
        <v>27.502813981042156</v>
      </c>
      <c r="J97" s="4">
        <v>22.988892180095274</v>
      </c>
      <c r="K97" s="5">
        <v>1.36817624463462</v>
      </c>
      <c r="L97" s="5">
        <v>0.48370707749637099</v>
      </c>
      <c r="M97" s="5">
        <v>0.27491836899740496</v>
      </c>
      <c r="N97" s="3">
        <v>0.93500000000000005</v>
      </c>
      <c r="O97" s="23" t="s">
        <v>56</v>
      </c>
    </row>
    <row r="98" spans="1:15" x14ac:dyDescent="0.25">
      <c r="A98" s="1" t="s">
        <v>18</v>
      </c>
      <c r="B98" s="2">
        <v>96</v>
      </c>
      <c r="C98" s="3">
        <v>345374.48687700002</v>
      </c>
      <c r="D98" s="3">
        <v>6528011.1437799903</v>
      </c>
      <c r="E98" s="3" t="s">
        <v>19</v>
      </c>
      <c r="F98" s="2" t="s">
        <v>20</v>
      </c>
      <c r="G98" s="3">
        <v>424.513099255572</v>
      </c>
      <c r="H98" s="4">
        <v>51.153282532239146</v>
      </c>
      <c r="I98" s="4">
        <v>22.979953106682192</v>
      </c>
      <c r="J98" s="4">
        <v>25.866764361078662</v>
      </c>
      <c r="K98" s="5">
        <v>1.33211373995444</v>
      </c>
      <c r="L98" s="5">
        <v>0.49731556982851499</v>
      </c>
      <c r="M98" s="5">
        <v>0.30842720690001302</v>
      </c>
      <c r="N98" s="3">
        <v>0.82399999999999995</v>
      </c>
      <c r="O98" s="23" t="s">
        <v>55</v>
      </c>
    </row>
    <row r="99" spans="1:15" x14ac:dyDescent="0.25">
      <c r="A99" s="1" t="s">
        <v>18</v>
      </c>
      <c r="B99" s="2">
        <v>97</v>
      </c>
      <c r="C99" s="3">
        <v>345450.10226199898</v>
      </c>
      <c r="D99" s="3">
        <v>6528011.1437799903</v>
      </c>
      <c r="E99" s="3" t="s">
        <v>19</v>
      </c>
      <c r="F99" s="2" t="s">
        <v>20</v>
      </c>
      <c r="G99" s="3">
        <v>80.461982352330949</v>
      </c>
      <c r="H99" s="4">
        <v>52.031662650602399</v>
      </c>
      <c r="I99" s="4">
        <v>30.597455421686963</v>
      </c>
      <c r="J99" s="4">
        <v>17.370881927710638</v>
      </c>
      <c r="K99" s="5">
        <v>1.64442169323277</v>
      </c>
      <c r="L99" s="5">
        <v>0.37946351198763395</v>
      </c>
      <c r="M99" s="5">
        <v>0.176232586032253</v>
      </c>
      <c r="N99" s="3">
        <v>0.76100000000000001</v>
      </c>
      <c r="O99" s="23" t="s">
        <v>55</v>
      </c>
    </row>
    <row r="100" spans="1:15" x14ac:dyDescent="0.25">
      <c r="A100" s="1" t="s">
        <v>18</v>
      </c>
      <c r="B100" s="2">
        <v>98</v>
      </c>
      <c r="C100" s="3">
        <v>345525.71764699899</v>
      </c>
      <c r="D100" s="3">
        <v>6528011.1437799903</v>
      </c>
      <c r="E100" s="3" t="s">
        <v>19</v>
      </c>
      <c r="F100" s="2" t="s">
        <v>20</v>
      </c>
      <c r="G100" s="3">
        <v>183.14250526981056</v>
      </c>
      <c r="H100" s="4">
        <v>36.176471226927262</v>
      </c>
      <c r="I100" s="4">
        <v>20.050514657980898</v>
      </c>
      <c r="J100" s="4">
        <v>43.77301411509184</v>
      </c>
      <c r="K100" s="5">
        <v>1.31826002137024</v>
      </c>
      <c r="L100" s="5">
        <v>0.50254338816217203</v>
      </c>
      <c r="M100" s="5">
        <v>0.21231550764575002</v>
      </c>
      <c r="N100" s="3">
        <v>1.5529999999999999</v>
      </c>
      <c r="O100" s="23" t="s">
        <v>55</v>
      </c>
    </row>
    <row r="101" spans="1:15" x14ac:dyDescent="0.25">
      <c r="A101" s="1" t="s">
        <v>18</v>
      </c>
      <c r="B101" s="2">
        <v>99</v>
      </c>
      <c r="C101" s="3">
        <v>345298.87149300001</v>
      </c>
      <c r="D101" s="3">
        <v>6527242.7014699904</v>
      </c>
      <c r="E101" s="3" t="s">
        <v>19</v>
      </c>
      <c r="F101" s="2" t="s">
        <v>20</v>
      </c>
      <c r="G101" s="3">
        <v>1488.4302513736368</v>
      </c>
      <c r="H101" s="4">
        <v>60.469092721834492</v>
      </c>
      <c r="I101" s="4">
        <v>16.806746427384645</v>
      </c>
      <c r="J101" s="4">
        <v>22.724160850780859</v>
      </c>
      <c r="K101" s="5">
        <v>1.45447051230578</v>
      </c>
      <c r="L101" s="5">
        <v>0.45114320290348103</v>
      </c>
      <c r="M101" s="5">
        <v>0.19997203460193699</v>
      </c>
      <c r="N101" s="3">
        <v>1.78</v>
      </c>
      <c r="O101" s="23" t="s">
        <v>56</v>
      </c>
    </row>
    <row r="102" spans="1:15" x14ac:dyDescent="0.25">
      <c r="A102" s="1" t="s">
        <v>18</v>
      </c>
      <c r="B102" s="2">
        <v>100</v>
      </c>
      <c r="C102" s="3">
        <v>345298.87149300001</v>
      </c>
      <c r="D102" s="3">
        <v>6527193.1245499896</v>
      </c>
      <c r="E102" s="3" t="s">
        <v>19</v>
      </c>
      <c r="F102" s="2" t="s">
        <v>20</v>
      </c>
      <c r="G102" s="3">
        <v>2940.2457827841122</v>
      </c>
      <c r="H102" s="4">
        <v>70.906327852516185</v>
      </c>
      <c r="I102" s="4">
        <v>11.191795382827152</v>
      </c>
      <c r="J102" s="4">
        <v>17.90187676465667</v>
      </c>
      <c r="K102" s="5">
        <v>1.43345750983051</v>
      </c>
      <c r="L102" s="5">
        <v>0.459072637799808</v>
      </c>
      <c r="M102" s="5">
        <v>0.26783623554962799</v>
      </c>
      <c r="N102" s="3">
        <v>1.33</v>
      </c>
      <c r="O102" s="23" t="s">
        <v>55</v>
      </c>
    </row>
    <row r="103" spans="1:15" x14ac:dyDescent="0.25">
      <c r="A103" s="1" t="s">
        <v>18</v>
      </c>
      <c r="B103" s="2">
        <v>101</v>
      </c>
      <c r="C103" s="3">
        <v>345298.87149300001</v>
      </c>
      <c r="D103" s="3">
        <v>6527168.3360900003</v>
      </c>
      <c r="E103" s="3" t="s">
        <v>19</v>
      </c>
      <c r="F103" s="2" t="s">
        <v>20</v>
      </c>
      <c r="G103" s="3">
        <v>539.4523512982488</v>
      </c>
      <c r="H103" s="4">
        <v>73.682382133995048</v>
      </c>
      <c r="I103" s="4">
        <v>16.737237386269641</v>
      </c>
      <c r="J103" s="4">
        <v>9.5803804797353109</v>
      </c>
      <c r="K103" s="5">
        <v>1.6549963155568099</v>
      </c>
      <c r="L103" s="5">
        <v>0.37547308846912758</v>
      </c>
      <c r="M103" s="5">
        <v>6.44265942291566E-2</v>
      </c>
      <c r="N103" s="3">
        <v>1.1200000000000001</v>
      </c>
      <c r="O103" s="23" t="s">
        <v>55</v>
      </c>
    </row>
    <row r="104" spans="1:15" x14ac:dyDescent="0.25">
      <c r="A104" s="1" t="s">
        <v>18</v>
      </c>
      <c r="B104" s="2">
        <v>102</v>
      </c>
      <c r="C104" s="3">
        <v>345298.87149300001</v>
      </c>
      <c r="D104" s="3">
        <v>6527143.5476200003</v>
      </c>
      <c r="E104" s="3" t="s">
        <v>19</v>
      </c>
      <c r="F104" s="2" t="s">
        <v>20</v>
      </c>
      <c r="G104" s="3">
        <v>1489.9649293972775</v>
      </c>
      <c r="H104" s="4">
        <v>70.387836490528414</v>
      </c>
      <c r="I104" s="4">
        <v>15.235859089398829</v>
      </c>
      <c r="J104" s="4">
        <v>14.376304420072762</v>
      </c>
      <c r="K104" s="5">
        <v>1.5239618896695299</v>
      </c>
      <c r="L104" s="5">
        <v>0.42492004163413893</v>
      </c>
      <c r="M104" s="5">
        <v>0.23461490778344898</v>
      </c>
      <c r="N104" s="3">
        <v>1.1499999999999999</v>
      </c>
      <c r="O104" s="23" t="s">
        <v>55</v>
      </c>
    </row>
    <row r="105" spans="1:15" x14ac:dyDescent="0.25">
      <c r="A105" s="1" t="s">
        <v>18</v>
      </c>
      <c r="B105" s="2">
        <v>103</v>
      </c>
      <c r="C105" s="3">
        <v>345273.66636500001</v>
      </c>
      <c r="D105" s="3">
        <v>6527317.0668599904</v>
      </c>
      <c r="E105" s="3" t="s">
        <v>19</v>
      </c>
      <c r="F105" s="2" t="s">
        <v>20</v>
      </c>
      <c r="G105" s="3">
        <v>4808.0035627250882</v>
      </c>
      <c r="H105" s="4">
        <v>77.703869047619065</v>
      </c>
      <c r="I105" s="4">
        <v>12.379828042328114</v>
      </c>
      <c r="J105" s="4">
        <v>9.9163029100528188</v>
      </c>
      <c r="K105" s="5">
        <v>1.3847103624736301</v>
      </c>
      <c r="L105" s="5">
        <v>0.47746778774579796</v>
      </c>
      <c r="M105" s="5">
        <v>0.292833024203631</v>
      </c>
      <c r="N105" s="3">
        <v>1.44</v>
      </c>
      <c r="O105" s="23" t="s">
        <v>54</v>
      </c>
    </row>
    <row r="106" spans="1:15" x14ac:dyDescent="0.25">
      <c r="A106" s="1" t="s">
        <v>18</v>
      </c>
      <c r="B106" s="2">
        <v>104</v>
      </c>
      <c r="C106" s="3">
        <v>345273.66636500001</v>
      </c>
      <c r="D106" s="3">
        <v>6527267.4899399905</v>
      </c>
      <c r="E106" s="3" t="s">
        <v>19</v>
      </c>
      <c r="F106" s="2" t="s">
        <v>20</v>
      </c>
      <c r="G106" s="3">
        <v>1565.5108366879895</v>
      </c>
      <c r="H106" s="4">
        <v>80.940766550522639</v>
      </c>
      <c r="I106" s="4">
        <v>11.219877219180177</v>
      </c>
      <c r="J106" s="4">
        <v>7.8393562302971835</v>
      </c>
      <c r="K106" s="5">
        <v>1.59709705357494</v>
      </c>
      <c r="L106" s="5">
        <v>0.39732186657549406</v>
      </c>
      <c r="M106" s="5">
        <v>0.25321350684996802</v>
      </c>
      <c r="N106" s="3">
        <v>0.56000000000000005</v>
      </c>
      <c r="O106" s="23" t="s">
        <v>54</v>
      </c>
    </row>
    <row r="107" spans="1:15" x14ac:dyDescent="0.25">
      <c r="A107" s="1" t="s">
        <v>18</v>
      </c>
      <c r="B107" s="2">
        <v>105</v>
      </c>
      <c r="C107" s="3">
        <v>345273.66636500001</v>
      </c>
      <c r="D107" s="3">
        <v>6527217.9130100003</v>
      </c>
      <c r="E107" s="3" t="s">
        <v>19</v>
      </c>
      <c r="F107" s="2" t="s">
        <v>20</v>
      </c>
      <c r="G107" s="3">
        <v>3084.5231919102243</v>
      </c>
      <c r="H107" s="4">
        <v>63.389332003988045</v>
      </c>
      <c r="I107" s="4">
        <v>14.410136257893328</v>
      </c>
      <c r="J107" s="4">
        <v>22.200531738118634</v>
      </c>
      <c r="K107" s="5">
        <v>1.28545176445176</v>
      </c>
      <c r="L107" s="5">
        <v>0.51492386247103394</v>
      </c>
      <c r="M107" s="5">
        <v>0.33641959767399299</v>
      </c>
      <c r="N107" s="3">
        <v>1.88</v>
      </c>
      <c r="O107" s="23" t="s">
        <v>55</v>
      </c>
    </row>
    <row r="108" spans="1:15" x14ac:dyDescent="0.25">
      <c r="A108" s="1" t="s">
        <v>18</v>
      </c>
      <c r="B108" s="2">
        <v>106</v>
      </c>
      <c r="C108" s="3">
        <v>345273.66636500001</v>
      </c>
      <c r="D108" s="3">
        <v>6527193.1245499896</v>
      </c>
      <c r="E108" s="3" t="s">
        <v>19</v>
      </c>
      <c r="F108" s="2" t="s">
        <v>20</v>
      </c>
      <c r="G108" s="3">
        <v>2815.170484712808</v>
      </c>
      <c r="H108" s="4">
        <v>58.455134596211373</v>
      </c>
      <c r="I108" s="4">
        <v>14.833067464273249</v>
      </c>
      <c r="J108" s="4">
        <v>26.711797939515385</v>
      </c>
      <c r="K108" s="5">
        <v>1.18594372234887</v>
      </c>
      <c r="L108" s="5">
        <v>0.55247406703816393</v>
      </c>
      <c r="M108" s="5">
        <v>0.32526668723046298</v>
      </c>
      <c r="N108" s="3">
        <v>1.7</v>
      </c>
      <c r="O108" s="23" t="s">
        <v>55</v>
      </c>
    </row>
    <row r="109" spans="1:15" x14ac:dyDescent="0.25">
      <c r="A109" s="1" t="s">
        <v>18</v>
      </c>
      <c r="B109" s="2">
        <v>107</v>
      </c>
      <c r="C109" s="3">
        <v>345273.66636500001</v>
      </c>
      <c r="D109" s="3">
        <v>6527168.3360900003</v>
      </c>
      <c r="E109" s="3" t="s">
        <v>19</v>
      </c>
      <c r="F109" s="2" t="s">
        <v>20</v>
      </c>
      <c r="G109" s="3">
        <v>4366.8283525079996</v>
      </c>
      <c r="H109" s="4">
        <v>68.191404297851079</v>
      </c>
      <c r="I109" s="4">
        <v>12.560886223554675</v>
      </c>
      <c r="J109" s="4">
        <v>19.247709478594246</v>
      </c>
      <c r="K109" s="5">
        <v>1.32424345840223</v>
      </c>
      <c r="L109" s="5">
        <v>0.50028548739538303</v>
      </c>
      <c r="M109" s="5">
        <v>0.31642934676510104</v>
      </c>
      <c r="N109" s="3">
        <v>1.35</v>
      </c>
      <c r="O109" s="23" t="s">
        <v>54</v>
      </c>
    </row>
    <row r="110" spans="1:15" x14ac:dyDescent="0.25">
      <c r="A110" s="1" t="s">
        <v>18</v>
      </c>
      <c r="B110" s="2">
        <v>108</v>
      </c>
      <c r="C110" s="3">
        <v>345273.66636500001</v>
      </c>
      <c r="D110" s="3">
        <v>6527143.5476200003</v>
      </c>
      <c r="E110" s="3" t="s">
        <v>19</v>
      </c>
      <c r="F110" s="2" t="s">
        <v>20</v>
      </c>
      <c r="G110" s="3">
        <v>5144.9021703951357</v>
      </c>
      <c r="H110" s="4">
        <v>75.097415506958242</v>
      </c>
      <c r="I110" s="4">
        <v>11.643406229291273</v>
      </c>
      <c r="J110" s="4">
        <v>13.259178263750483</v>
      </c>
      <c r="K110" s="5">
        <v>1.33345489721227</v>
      </c>
      <c r="L110" s="5">
        <v>0.49680947275008697</v>
      </c>
      <c r="M110" s="5">
        <v>0.35259895707553396</v>
      </c>
      <c r="N110" s="3">
        <v>1.31</v>
      </c>
      <c r="O110" s="23" t="s">
        <v>55</v>
      </c>
    </row>
    <row r="111" spans="1:15" x14ac:dyDescent="0.25">
      <c r="A111" s="1" t="s">
        <v>18</v>
      </c>
      <c r="B111" s="2">
        <v>109</v>
      </c>
      <c r="C111" s="3">
        <v>345273.66636500001</v>
      </c>
      <c r="D111" s="3">
        <v>6527118.7591599897</v>
      </c>
      <c r="E111" s="3" t="s">
        <v>19</v>
      </c>
      <c r="F111" s="2" t="s">
        <v>20</v>
      </c>
      <c r="G111" s="3">
        <v>5403.9934954004639</v>
      </c>
      <c r="H111" s="4">
        <v>71.761833582461392</v>
      </c>
      <c r="I111" s="4">
        <v>16.032951336987168</v>
      </c>
      <c r="J111" s="4">
        <v>12.205215080551444</v>
      </c>
      <c r="K111" s="5">
        <v>1.4193068745172499</v>
      </c>
      <c r="L111" s="5">
        <v>0.46441250018217106</v>
      </c>
      <c r="M111" s="5">
        <v>0.29113070340786601</v>
      </c>
      <c r="N111" s="3">
        <v>0.32</v>
      </c>
      <c r="O111" s="23" t="s">
        <v>55</v>
      </c>
    </row>
    <row r="112" spans="1:15" x14ac:dyDescent="0.25">
      <c r="A112" s="1" t="s">
        <v>18</v>
      </c>
      <c r="B112" s="2">
        <v>110</v>
      </c>
      <c r="C112" s="3">
        <v>345248.46123700001</v>
      </c>
      <c r="D112" s="3">
        <v>6527317.0668599904</v>
      </c>
      <c r="E112" s="3" t="s">
        <v>19</v>
      </c>
      <c r="F112" s="2" t="s">
        <v>20</v>
      </c>
      <c r="G112" s="3">
        <v>6579.3673431551761</v>
      </c>
      <c r="H112" s="4">
        <v>80.329534192269577</v>
      </c>
      <c r="I112" s="4">
        <v>10.524743970928043</v>
      </c>
      <c r="J112" s="4">
        <v>9.1457218368023749</v>
      </c>
      <c r="K112" s="5">
        <v>1.4885938904220199</v>
      </c>
      <c r="L112" s="5">
        <v>0.43826645644452</v>
      </c>
      <c r="M112" s="5">
        <v>0.29840984676067001</v>
      </c>
      <c r="N112" s="3">
        <v>0.94</v>
      </c>
      <c r="O112" s="23" t="s">
        <v>55</v>
      </c>
    </row>
    <row r="113" spans="1:15" x14ac:dyDescent="0.25">
      <c r="A113" s="1" t="s">
        <v>18</v>
      </c>
      <c r="B113" s="2">
        <v>111</v>
      </c>
      <c r="C113" s="3">
        <v>345248.46123700001</v>
      </c>
      <c r="D113" s="3">
        <v>6527267.4899399905</v>
      </c>
      <c r="E113" s="3" t="s">
        <v>19</v>
      </c>
      <c r="F113" s="2" t="s">
        <v>20</v>
      </c>
      <c r="G113" s="3">
        <v>2970.530864112528</v>
      </c>
      <c r="H113" s="4">
        <v>68.70407149950347</v>
      </c>
      <c r="I113" s="4">
        <v>12.974842767295655</v>
      </c>
      <c r="J113" s="4">
        <v>18.321085733200867</v>
      </c>
      <c r="K113" s="5">
        <v>1.4526397174704999</v>
      </c>
      <c r="L113" s="5">
        <v>0.45183406887905903</v>
      </c>
      <c r="M113" s="5">
        <v>0.247043198662282</v>
      </c>
      <c r="N113" s="3">
        <v>2.12</v>
      </c>
      <c r="O113" s="23" t="s">
        <v>55</v>
      </c>
    </row>
    <row r="114" spans="1:15" x14ac:dyDescent="0.25">
      <c r="A114" s="1" t="s">
        <v>18</v>
      </c>
      <c r="B114" s="2">
        <v>112</v>
      </c>
      <c r="C114" s="3">
        <v>345248.46123700001</v>
      </c>
      <c r="D114" s="3">
        <v>6527242.7014699904</v>
      </c>
      <c r="E114" s="3" t="s">
        <v>19</v>
      </c>
      <c r="F114" s="2" t="s">
        <v>20</v>
      </c>
      <c r="G114" s="3">
        <v>661.9131838392193</v>
      </c>
      <c r="H114" s="4">
        <v>83.111442786069659</v>
      </c>
      <c r="I114" s="4">
        <v>11.304245439469241</v>
      </c>
      <c r="J114" s="4">
        <v>5.5843117744611046</v>
      </c>
      <c r="K114" s="5">
        <v>1.3994820236632199</v>
      </c>
      <c r="L114" s="5">
        <v>0.47189357597614306</v>
      </c>
      <c r="M114" s="5">
        <v>0.32738066952892803</v>
      </c>
      <c r="N114" s="3">
        <v>0.75</v>
      </c>
      <c r="O114" s="23" t="s">
        <v>55</v>
      </c>
    </row>
    <row r="115" spans="1:15" x14ac:dyDescent="0.25">
      <c r="A115" s="1" t="s">
        <v>18</v>
      </c>
      <c r="B115" s="2">
        <v>113</v>
      </c>
      <c r="C115" s="3">
        <v>345248.46123700001</v>
      </c>
      <c r="D115" s="3">
        <v>6527193.1245499896</v>
      </c>
      <c r="E115" s="3" t="s">
        <v>19</v>
      </c>
      <c r="F115" s="2" t="s">
        <v>20</v>
      </c>
      <c r="G115" s="3">
        <v>2824.2043024361037</v>
      </c>
      <c r="H115" s="4">
        <v>73.546134663341661</v>
      </c>
      <c r="I115" s="4">
        <v>14.266699916874714</v>
      </c>
      <c r="J115" s="4">
        <v>12.187165419783629</v>
      </c>
      <c r="K115" s="5">
        <v>1.42620845525478</v>
      </c>
      <c r="L115" s="5">
        <v>0.46180813009253596</v>
      </c>
      <c r="M115" s="5">
        <v>0.27405639937677601</v>
      </c>
      <c r="N115" s="3">
        <v>0.96</v>
      </c>
      <c r="O115" s="23" t="s">
        <v>54</v>
      </c>
    </row>
    <row r="116" spans="1:15" x14ac:dyDescent="0.25">
      <c r="A116" s="1" t="s">
        <v>18</v>
      </c>
      <c r="B116" s="2">
        <v>114</v>
      </c>
      <c r="C116" s="3">
        <v>345248.46123700001</v>
      </c>
      <c r="D116" s="3">
        <v>6527168.3360900003</v>
      </c>
      <c r="E116" s="3" t="s">
        <v>19</v>
      </c>
      <c r="F116" s="2" t="s">
        <v>20</v>
      </c>
      <c r="G116" s="3">
        <v>5083.1362068403205</v>
      </c>
      <c r="H116" s="4">
        <v>75.561847988077488</v>
      </c>
      <c r="I116" s="4">
        <v>10.744030468621304</v>
      </c>
      <c r="J116" s="4">
        <v>13.694121543301211</v>
      </c>
      <c r="K116" s="5">
        <v>1.4096149828476701</v>
      </c>
      <c r="L116" s="5">
        <v>0.46806981779333101</v>
      </c>
      <c r="M116" s="5">
        <v>0.32548531794419999</v>
      </c>
      <c r="N116" s="3">
        <v>1.54</v>
      </c>
      <c r="O116" s="23" t="s">
        <v>54</v>
      </c>
    </row>
    <row r="117" spans="1:15" x14ac:dyDescent="0.25">
      <c r="A117" s="1" t="s">
        <v>18</v>
      </c>
      <c r="B117" s="2">
        <v>115</v>
      </c>
      <c r="C117" s="3">
        <v>345248.46123700001</v>
      </c>
      <c r="D117" s="3">
        <v>6527143.5476200003</v>
      </c>
      <c r="E117" s="3" t="s">
        <v>19</v>
      </c>
      <c r="F117" s="2" t="s">
        <v>20</v>
      </c>
      <c r="G117" s="3">
        <v>5307.4330912066798</v>
      </c>
      <c r="H117" s="4">
        <v>67.467396714783462</v>
      </c>
      <c r="I117" s="4">
        <v>13.291156462585008</v>
      </c>
      <c r="J117" s="4">
        <v>19.241446822631538</v>
      </c>
      <c r="K117" s="5">
        <v>1.3563255155310501</v>
      </c>
      <c r="L117" s="5">
        <v>0.488179050742999</v>
      </c>
      <c r="M117" s="5">
        <v>0.29706736435588199</v>
      </c>
      <c r="N117" s="3">
        <v>1.7</v>
      </c>
      <c r="O117" s="23" t="s">
        <v>55</v>
      </c>
    </row>
    <row r="118" spans="1:15" x14ac:dyDescent="0.25">
      <c r="A118" s="1" t="s">
        <v>18</v>
      </c>
      <c r="B118" s="2">
        <v>116</v>
      </c>
      <c r="C118" s="3">
        <v>345223.25610900001</v>
      </c>
      <c r="D118" s="3">
        <v>6527292.2784000002</v>
      </c>
      <c r="E118" s="3" t="s">
        <v>19</v>
      </c>
      <c r="F118" s="2" t="s">
        <v>20</v>
      </c>
      <c r="G118" s="3">
        <v>5707.8810364703759</v>
      </c>
      <c r="H118" s="4">
        <v>76.966716343765526</v>
      </c>
      <c r="I118" s="4">
        <v>11.205630071203714</v>
      </c>
      <c r="J118" s="4">
        <v>11.827653585030758</v>
      </c>
      <c r="K118" s="5">
        <v>1.56470940395164</v>
      </c>
      <c r="L118" s="5">
        <v>0.40954362115032394</v>
      </c>
      <c r="M118" s="5">
        <v>0.25952269547978501</v>
      </c>
      <c r="N118" s="3">
        <v>2.2200000000000002</v>
      </c>
      <c r="O118" s="23" t="s">
        <v>55</v>
      </c>
    </row>
    <row r="119" spans="1:15" x14ac:dyDescent="0.25">
      <c r="A119" s="1" t="s">
        <v>18</v>
      </c>
      <c r="B119" s="2">
        <v>117</v>
      </c>
      <c r="C119" s="3">
        <v>345223.25610900001</v>
      </c>
      <c r="D119" s="3">
        <v>6527267.4899399905</v>
      </c>
      <c r="E119" s="3" t="s">
        <v>19</v>
      </c>
      <c r="F119" s="2" t="s">
        <v>20</v>
      </c>
      <c r="G119" s="3">
        <v>5590.1837249300643</v>
      </c>
      <c r="H119" s="4">
        <v>73.417873190214692</v>
      </c>
      <c r="I119" s="4">
        <v>14.009652188384123</v>
      </c>
      <c r="J119" s="4">
        <v>12.57247462140119</v>
      </c>
      <c r="K119" s="5">
        <v>1.5288077280379699</v>
      </c>
      <c r="L119" s="5">
        <v>0.42309142338189898</v>
      </c>
      <c r="M119" s="5">
        <v>0.26457261031970503</v>
      </c>
      <c r="N119" s="3">
        <v>1.28</v>
      </c>
      <c r="O119" s="23" t="s">
        <v>55</v>
      </c>
    </row>
    <row r="120" spans="1:15" x14ac:dyDescent="0.25">
      <c r="A120" s="1" t="s">
        <v>18</v>
      </c>
      <c r="B120" s="2">
        <v>118</v>
      </c>
      <c r="C120" s="3">
        <v>345223.25610900001</v>
      </c>
      <c r="D120" s="3">
        <v>6527242.7014699904</v>
      </c>
      <c r="E120" s="3" t="s">
        <v>19</v>
      </c>
      <c r="F120" s="2" t="s">
        <v>20</v>
      </c>
      <c r="G120" s="3">
        <v>4696.1144913821763</v>
      </c>
      <c r="H120" s="4">
        <v>75.939091362955537</v>
      </c>
      <c r="I120" s="4">
        <v>11.518688633716096</v>
      </c>
      <c r="J120" s="4">
        <v>12.542220003328369</v>
      </c>
      <c r="K120" s="5">
        <v>1.39859828535922</v>
      </c>
      <c r="L120" s="5">
        <v>0.472227062128597</v>
      </c>
      <c r="M120" s="5">
        <v>0.31329293731088098</v>
      </c>
      <c r="N120" s="3">
        <v>0.73</v>
      </c>
      <c r="O120" s="23" t="s">
        <v>55</v>
      </c>
    </row>
    <row r="121" spans="1:15" x14ac:dyDescent="0.25">
      <c r="A121" s="1" t="s">
        <v>18</v>
      </c>
      <c r="B121" s="2">
        <v>119</v>
      </c>
      <c r="C121" s="3">
        <v>345223.25610900001</v>
      </c>
      <c r="D121" s="3">
        <v>6527168.3360900003</v>
      </c>
      <c r="E121" s="3" t="s">
        <v>19</v>
      </c>
      <c r="F121" s="2" t="s">
        <v>20</v>
      </c>
      <c r="G121" s="3">
        <v>8151.2529774175682</v>
      </c>
      <c r="H121" s="4">
        <v>78.846460618145542</v>
      </c>
      <c r="I121" s="4">
        <v>12.980225988700795</v>
      </c>
      <c r="J121" s="4">
        <v>8.1733133931536663</v>
      </c>
      <c r="K121" s="5">
        <v>1.29273643923588</v>
      </c>
      <c r="L121" s="5">
        <v>0.51217492859023594</v>
      </c>
      <c r="M121" s="5">
        <v>0.36461400236672198</v>
      </c>
      <c r="N121" s="3">
        <v>1.30313559928444</v>
      </c>
      <c r="O121" s="23" t="s">
        <v>55</v>
      </c>
    </row>
    <row r="122" spans="1:15" x14ac:dyDescent="0.25">
      <c r="A122" s="1" t="s">
        <v>18</v>
      </c>
      <c r="B122" s="2">
        <v>120</v>
      </c>
      <c r="C122" s="3">
        <v>345223.25610900001</v>
      </c>
      <c r="D122" s="3">
        <v>6527143.5476200003</v>
      </c>
      <c r="E122" s="3" t="s">
        <v>19</v>
      </c>
      <c r="F122" s="2" t="s">
        <v>20</v>
      </c>
      <c r="G122" s="3">
        <v>2084.9809161144026</v>
      </c>
      <c r="H122" s="4">
        <v>76.715846994535525</v>
      </c>
      <c r="I122" s="4">
        <v>12.429872495446361</v>
      </c>
      <c r="J122" s="4">
        <v>10.854280510018112</v>
      </c>
      <c r="K122" s="5">
        <v>1.4451523974817999</v>
      </c>
      <c r="L122" s="5">
        <v>0.45465947264837892</v>
      </c>
      <c r="M122" s="5">
        <v>0.26950882358717798</v>
      </c>
      <c r="N122" s="3">
        <v>1.3088630952218401</v>
      </c>
      <c r="O122" s="23" t="s">
        <v>55</v>
      </c>
    </row>
    <row r="123" spans="1:15" x14ac:dyDescent="0.25">
      <c r="A123" s="1" t="s">
        <v>18</v>
      </c>
      <c r="B123" s="2">
        <v>121</v>
      </c>
      <c r="C123" s="3">
        <v>345324.07662000001</v>
      </c>
      <c r="D123" s="3">
        <v>6527317.0668599904</v>
      </c>
      <c r="E123" s="3" t="s">
        <v>19</v>
      </c>
      <c r="F123" s="2" t="s">
        <v>20</v>
      </c>
      <c r="G123" s="3">
        <v>6082.7967403779849</v>
      </c>
      <c r="H123" s="4">
        <v>81.441906653426017</v>
      </c>
      <c r="I123" s="4">
        <v>8.7623303541874975</v>
      </c>
      <c r="J123" s="4">
        <v>9.7957629923864822</v>
      </c>
      <c r="K123" s="5">
        <v>1.3925336143937601</v>
      </c>
      <c r="L123" s="5">
        <v>0.47451561720990298</v>
      </c>
      <c r="M123" s="5">
        <v>0.326466731568197</v>
      </c>
      <c r="N123" s="3">
        <v>1.3145905911592399</v>
      </c>
      <c r="O123" s="23" t="s">
        <v>54</v>
      </c>
    </row>
    <row r="124" spans="1:15" x14ac:dyDescent="0.25">
      <c r="A124" s="1" t="s">
        <v>18</v>
      </c>
      <c r="B124" s="2">
        <v>122</v>
      </c>
      <c r="C124" s="3">
        <v>345324.07662000001</v>
      </c>
      <c r="D124" s="3">
        <v>6527292.2784000002</v>
      </c>
      <c r="E124" s="3" t="s">
        <v>19</v>
      </c>
      <c r="F124" s="2" t="s">
        <v>20</v>
      </c>
      <c r="G124" s="3">
        <v>4954.7007745384562</v>
      </c>
      <c r="H124" s="4">
        <v>66.730348258706456</v>
      </c>
      <c r="I124" s="4">
        <v>14.309121061360628</v>
      </c>
      <c r="J124" s="4">
        <v>18.960530679932916</v>
      </c>
      <c r="K124" s="5">
        <v>1.1548994321741699</v>
      </c>
      <c r="L124" s="5">
        <v>0.564188893519183</v>
      </c>
      <c r="M124" s="5">
        <v>0.31679618703342</v>
      </c>
      <c r="N124" s="3">
        <v>1.32031808709664</v>
      </c>
      <c r="O124" s="23" t="s">
        <v>55</v>
      </c>
    </row>
    <row r="125" spans="1:15" x14ac:dyDescent="0.25">
      <c r="A125" s="1" t="s">
        <v>18</v>
      </c>
      <c r="B125" s="2">
        <v>123</v>
      </c>
      <c r="C125" s="3">
        <v>345324.07662000001</v>
      </c>
      <c r="D125" s="3">
        <v>6527267.4899399905</v>
      </c>
      <c r="E125" s="3" t="s">
        <v>19</v>
      </c>
      <c r="F125" s="2" t="s">
        <v>20</v>
      </c>
      <c r="G125" s="3">
        <v>2034.2239935040632</v>
      </c>
      <c r="H125" s="4">
        <v>69.705647176411802</v>
      </c>
      <c r="I125" s="4">
        <v>13.095918707313402</v>
      </c>
      <c r="J125" s="4">
        <v>17.1984341162748</v>
      </c>
      <c r="K125" s="5">
        <v>1.35046808703237</v>
      </c>
      <c r="L125" s="5">
        <v>0.49038940111986201</v>
      </c>
      <c r="M125" s="5">
        <v>0.28658249567761396</v>
      </c>
      <c r="N125" s="3">
        <v>1.3260455830340401</v>
      </c>
      <c r="O125" s="23" t="s">
        <v>55</v>
      </c>
    </row>
    <row r="126" spans="1:15" x14ac:dyDescent="0.25">
      <c r="A126" s="1" t="s">
        <v>18</v>
      </c>
      <c r="B126" s="2">
        <v>124</v>
      </c>
      <c r="C126" s="3">
        <v>345324.07662000001</v>
      </c>
      <c r="D126" s="3">
        <v>6527242.7014699904</v>
      </c>
      <c r="E126" s="3" t="s">
        <v>19</v>
      </c>
      <c r="F126" s="2" t="s">
        <v>20</v>
      </c>
      <c r="G126" s="3">
        <v>2684.1613791308641</v>
      </c>
      <c r="H126" s="4">
        <v>75.308345827086455</v>
      </c>
      <c r="I126" s="4">
        <v>10.541895718807368</v>
      </c>
      <c r="J126" s="4">
        <v>14.149758454106177</v>
      </c>
      <c r="K126" s="5">
        <v>1.5141934698894299</v>
      </c>
      <c r="L126" s="5">
        <v>0.42860623777757595</v>
      </c>
      <c r="M126" s="5">
        <v>0.23088510699862599</v>
      </c>
      <c r="N126" s="3">
        <v>1.3317730789714499</v>
      </c>
      <c r="O126" s="23" t="s">
        <v>55</v>
      </c>
    </row>
    <row r="127" spans="1:15" x14ac:dyDescent="0.25">
      <c r="A127" s="1" t="s">
        <v>18</v>
      </c>
      <c r="B127" s="2">
        <v>125</v>
      </c>
      <c r="C127" s="3">
        <v>345324.07662000001</v>
      </c>
      <c r="D127" s="3">
        <v>6527217.9130100003</v>
      </c>
      <c r="E127" s="3" t="s">
        <v>19</v>
      </c>
      <c r="F127" s="2" t="s">
        <v>20</v>
      </c>
      <c r="G127" s="3">
        <v>3352.7897018103836</v>
      </c>
      <c r="H127" s="4">
        <v>67.703296703296715</v>
      </c>
      <c r="I127" s="4">
        <v>14.642723942723251</v>
      </c>
      <c r="J127" s="4">
        <v>17.653979353980034</v>
      </c>
      <c r="K127" s="5">
        <v>1.4093820281291101</v>
      </c>
      <c r="L127" s="5">
        <v>0.468157725234296</v>
      </c>
      <c r="M127" s="5">
        <v>0.25326582297312999</v>
      </c>
      <c r="N127" s="3">
        <v>1.33750057490885</v>
      </c>
      <c r="O127" s="23" t="s">
        <v>55</v>
      </c>
    </row>
    <row r="128" spans="1:15" x14ac:dyDescent="0.25">
      <c r="A128" s="1" t="s">
        <v>18</v>
      </c>
      <c r="B128" s="2">
        <v>126</v>
      </c>
      <c r="C128" s="3">
        <v>345324.07662000001</v>
      </c>
      <c r="D128" s="3">
        <v>6527193.1245499896</v>
      </c>
      <c r="E128" s="3" t="s">
        <v>19</v>
      </c>
      <c r="F128" s="2" t="s">
        <v>20</v>
      </c>
      <c r="G128" s="3">
        <v>1593.5099525445166</v>
      </c>
      <c r="H128" s="4">
        <v>59.592518703241886</v>
      </c>
      <c r="I128" s="4">
        <v>14.367448046550258</v>
      </c>
      <c r="J128" s="4">
        <v>26.040033250207852</v>
      </c>
      <c r="K128" s="5">
        <v>1.4913686360338601</v>
      </c>
      <c r="L128" s="5">
        <v>0.43721938262873195</v>
      </c>
      <c r="M128" s="5">
        <v>0.22689298663289401</v>
      </c>
      <c r="N128" s="3">
        <v>1.3432280708462501</v>
      </c>
      <c r="O128" s="23" t="s">
        <v>55</v>
      </c>
    </row>
    <row r="129" spans="1:15" x14ac:dyDescent="0.25">
      <c r="A129" s="1" t="s">
        <v>18</v>
      </c>
      <c r="B129" s="2">
        <v>127</v>
      </c>
      <c r="C129" s="3">
        <v>345324.07662000001</v>
      </c>
      <c r="D129" s="3">
        <v>6527168.3360900003</v>
      </c>
      <c r="E129" s="3" t="s">
        <v>19</v>
      </c>
      <c r="F129" s="2" t="s">
        <v>20</v>
      </c>
      <c r="G129" s="3">
        <v>1453.136806548828</v>
      </c>
      <c r="H129" s="4">
        <v>64.788662357036287</v>
      </c>
      <c r="I129" s="4">
        <v>15.295939002154256</v>
      </c>
      <c r="J129" s="4">
        <v>19.915398640809457</v>
      </c>
      <c r="K129" s="5">
        <v>1.45403311326824</v>
      </c>
      <c r="L129" s="5">
        <v>0.45130825914406103</v>
      </c>
      <c r="M129" s="5">
        <v>0.212348533487976</v>
      </c>
      <c r="N129" s="3">
        <v>1.3489555667836499</v>
      </c>
      <c r="O129" s="23" t="s">
        <v>55</v>
      </c>
    </row>
    <row r="130" spans="1:15" x14ac:dyDescent="0.25">
      <c r="A130" s="1" t="s">
        <v>18</v>
      </c>
      <c r="B130" s="2">
        <v>128</v>
      </c>
      <c r="C130" s="3">
        <v>345324.07662000001</v>
      </c>
      <c r="D130" s="3">
        <v>6527143.5476200003</v>
      </c>
      <c r="E130" s="3" t="s">
        <v>19</v>
      </c>
      <c r="F130" s="2" t="s">
        <v>20</v>
      </c>
      <c r="G130" s="3">
        <v>1085.7699328391063</v>
      </c>
      <c r="H130" s="4">
        <v>71.353233830845767</v>
      </c>
      <c r="I130" s="4">
        <v>14.439767827529053</v>
      </c>
      <c r="J130" s="4">
        <v>14.206998341625182</v>
      </c>
      <c r="K130" s="5">
        <v>1.5603086136358999</v>
      </c>
      <c r="L130" s="5">
        <v>0.41120429674117004</v>
      </c>
      <c r="M130" s="5">
        <v>0.23787110550111401</v>
      </c>
      <c r="N130" s="3">
        <v>1.35468306272105</v>
      </c>
      <c r="O130" s="23" t="s">
        <v>55</v>
      </c>
    </row>
    <row r="131" spans="1:15" x14ac:dyDescent="0.25">
      <c r="A131" s="1" t="s">
        <v>18</v>
      </c>
      <c r="B131" s="2">
        <v>129</v>
      </c>
      <c r="C131" s="3">
        <v>345324.07662000001</v>
      </c>
      <c r="D131" s="3">
        <v>6527118.7591599897</v>
      </c>
      <c r="E131" s="3" t="s">
        <v>19</v>
      </c>
      <c r="F131" s="2" t="s">
        <v>20</v>
      </c>
      <c r="G131" s="3">
        <v>3515.2073169745677</v>
      </c>
      <c r="H131" s="4">
        <v>53.686040735221063</v>
      </c>
      <c r="I131" s="4">
        <v>13.734393111442053</v>
      </c>
      <c r="J131" s="4">
        <v>32.579566153336891</v>
      </c>
      <c r="K131" s="5">
        <v>1.2723851080697399</v>
      </c>
      <c r="L131" s="5">
        <v>0.51985467620009995</v>
      </c>
      <c r="M131" s="5">
        <v>0.31547567878108101</v>
      </c>
      <c r="N131" s="3">
        <v>1.3604105586584501</v>
      </c>
      <c r="O131" s="23" t="s">
        <v>55</v>
      </c>
    </row>
    <row r="132" spans="1:15" x14ac:dyDescent="0.25">
      <c r="A132" s="1" t="s">
        <v>18</v>
      </c>
      <c r="B132" s="2">
        <v>130</v>
      </c>
      <c r="C132" s="3">
        <v>345349.28174900002</v>
      </c>
      <c r="D132" s="3">
        <v>6527317.0668599904</v>
      </c>
      <c r="E132" s="3" t="s">
        <v>19</v>
      </c>
      <c r="F132" s="2" t="s">
        <v>20</v>
      </c>
      <c r="G132" s="3">
        <v>2528.7506355941518</v>
      </c>
      <c r="H132" s="4">
        <v>64.935756972111534</v>
      </c>
      <c r="I132" s="4">
        <v>18.267795484727728</v>
      </c>
      <c r="J132" s="4">
        <v>16.796447543160738</v>
      </c>
      <c r="K132" s="5">
        <v>1.40251908852063</v>
      </c>
      <c r="L132" s="5">
        <v>0.47074751376580098</v>
      </c>
      <c r="M132" s="5">
        <v>0.28301349380664098</v>
      </c>
      <c r="N132" s="3">
        <v>1.3661380545958599</v>
      </c>
      <c r="O132" s="23" t="s">
        <v>54</v>
      </c>
    </row>
    <row r="133" spans="1:15" x14ac:dyDescent="0.25">
      <c r="A133" s="1" t="s">
        <v>18</v>
      </c>
      <c r="B133" s="2">
        <v>131</v>
      </c>
      <c r="C133" s="3">
        <v>345349.28174900002</v>
      </c>
      <c r="D133" s="3">
        <v>6527292.2784000002</v>
      </c>
      <c r="E133" s="3" t="s">
        <v>19</v>
      </c>
      <c r="F133" s="2" t="s">
        <v>20</v>
      </c>
      <c r="G133" s="3">
        <v>3288.9978839640003</v>
      </c>
      <c r="H133" s="4">
        <v>60.620089507707604</v>
      </c>
      <c r="I133" s="4">
        <v>15.707773910160398</v>
      </c>
      <c r="J133" s="4">
        <v>23.672136582131991</v>
      </c>
      <c r="K133" s="5">
        <v>1.4739241639267799</v>
      </c>
      <c r="L133" s="5">
        <v>0.44380220229178202</v>
      </c>
      <c r="M133" s="5">
        <v>0.22726074792852402</v>
      </c>
      <c r="N133" s="3">
        <v>1.37186555053326</v>
      </c>
      <c r="O133" s="23" t="s">
        <v>55</v>
      </c>
    </row>
    <row r="134" spans="1:15" x14ac:dyDescent="0.25">
      <c r="A134" s="1" t="s">
        <v>18</v>
      </c>
      <c r="B134" s="2">
        <v>132</v>
      </c>
      <c r="C134" s="3">
        <v>345349.28174900002</v>
      </c>
      <c r="D134" s="3">
        <v>6527267.4899399905</v>
      </c>
      <c r="E134" s="3" t="s">
        <v>19</v>
      </c>
      <c r="F134" s="2" t="s">
        <v>20</v>
      </c>
      <c r="G134" s="3">
        <v>25.7997213939096</v>
      </c>
      <c r="H134" s="4">
        <v>57.067264573991032</v>
      </c>
      <c r="I134" s="4">
        <v>15.580036538780796</v>
      </c>
      <c r="J134" s="4">
        <v>27.352698887228168</v>
      </c>
      <c r="K134" s="5">
        <v>1.6253564005236301</v>
      </c>
      <c r="L134" s="5">
        <v>0.38665796206655401</v>
      </c>
      <c r="M134" s="5">
        <v>0.10949448526920699</v>
      </c>
      <c r="N134" s="3">
        <v>1.3775930464706601</v>
      </c>
      <c r="O134" s="23" t="s">
        <v>55</v>
      </c>
    </row>
    <row r="135" spans="1:15" x14ac:dyDescent="0.25">
      <c r="A135" s="1" t="s">
        <v>18</v>
      </c>
      <c r="B135" s="2">
        <v>133</v>
      </c>
      <c r="C135" s="3">
        <v>345349.28174900002</v>
      </c>
      <c r="D135" s="3">
        <v>6527242.7014699904</v>
      </c>
      <c r="E135" s="3" t="s">
        <v>19</v>
      </c>
      <c r="F135" s="2" t="s">
        <v>20</v>
      </c>
      <c r="G135" s="3">
        <v>4337.7796712994714</v>
      </c>
      <c r="H135" s="4">
        <v>66.677161419290329</v>
      </c>
      <c r="I135" s="4">
        <v>15.49851740796241</v>
      </c>
      <c r="J135" s="4">
        <v>17.824321172747258</v>
      </c>
      <c r="K135" s="5">
        <v>1.24088680511379</v>
      </c>
      <c r="L135" s="5">
        <v>0.53174082825894597</v>
      </c>
      <c r="M135" s="5">
        <v>0.36536324453546098</v>
      </c>
      <c r="N135" s="3">
        <v>1.3833205424080599</v>
      </c>
      <c r="O135" s="23" t="s">
        <v>55</v>
      </c>
    </row>
    <row r="136" spans="1:15" x14ac:dyDescent="0.25">
      <c r="A136" s="1" t="s">
        <v>18</v>
      </c>
      <c r="B136" s="2">
        <v>134</v>
      </c>
      <c r="C136" s="3">
        <v>345349.28174900002</v>
      </c>
      <c r="D136" s="3">
        <v>6527217.9130100003</v>
      </c>
      <c r="E136" s="3" t="s">
        <v>19</v>
      </c>
      <c r="F136" s="2" t="s">
        <v>20</v>
      </c>
      <c r="G136" s="3">
        <v>9034.2964645648808</v>
      </c>
      <c r="H136" s="4">
        <v>61.292743538767397</v>
      </c>
      <c r="I136" s="4">
        <v>15.358117958913155</v>
      </c>
      <c r="J136" s="4">
        <v>23.349138502319455</v>
      </c>
      <c r="K136" s="5">
        <v>1.2168945325535601</v>
      </c>
      <c r="L136" s="5">
        <v>0.54079451601752493</v>
      </c>
      <c r="M136" s="5">
        <v>0.31084521099606399</v>
      </c>
      <c r="N136" s="3">
        <v>1.38904803834546</v>
      </c>
      <c r="O136" s="23" t="s">
        <v>54</v>
      </c>
    </row>
    <row r="137" spans="1:15" x14ac:dyDescent="0.25">
      <c r="A137" s="1" t="s">
        <v>18</v>
      </c>
      <c r="B137" s="2">
        <v>135</v>
      </c>
      <c r="C137" s="3">
        <v>345349.28174900002</v>
      </c>
      <c r="D137" s="3">
        <v>6527193.1245499896</v>
      </c>
      <c r="E137" s="3" t="s">
        <v>19</v>
      </c>
      <c r="F137" s="2" t="s">
        <v>20</v>
      </c>
      <c r="G137" s="3">
        <v>771.46336875224404</v>
      </c>
      <c r="H137" s="4">
        <v>67.921617573639537</v>
      </c>
      <c r="I137" s="4">
        <v>10.964020635713339</v>
      </c>
      <c r="J137" s="4">
        <v>21.11436179064712</v>
      </c>
      <c r="K137" s="5">
        <v>1.3301554476017601</v>
      </c>
      <c r="L137" s="5">
        <v>0.49805454807480598</v>
      </c>
      <c r="M137" s="5">
        <v>0.22960794660169001</v>
      </c>
      <c r="N137" s="3">
        <v>1.39477553428287</v>
      </c>
      <c r="O137" s="23" t="s">
        <v>55</v>
      </c>
    </row>
    <row r="138" spans="1:15" x14ac:dyDescent="0.25">
      <c r="A138" s="1" t="s">
        <v>18</v>
      </c>
      <c r="B138" s="2">
        <v>136</v>
      </c>
      <c r="C138" s="3">
        <v>345349.28174900002</v>
      </c>
      <c r="D138" s="3">
        <v>6527168.3360900003</v>
      </c>
      <c r="E138" s="3" t="s">
        <v>19</v>
      </c>
      <c r="F138" s="2" t="s">
        <v>20</v>
      </c>
      <c r="G138" s="3">
        <v>145.17907869666647</v>
      </c>
      <c r="H138" s="4">
        <v>53.485345255837061</v>
      </c>
      <c r="I138" s="4">
        <v>21.77024010597755</v>
      </c>
      <c r="J138" s="4">
        <v>24.744414638185383</v>
      </c>
      <c r="K138" s="5">
        <v>1.6093620175058201</v>
      </c>
      <c r="L138" s="5">
        <v>0.39269357829969009</v>
      </c>
      <c r="M138" s="5">
        <v>9.1493712038594091E-2</v>
      </c>
      <c r="N138" s="3">
        <v>1.4005030302202699</v>
      </c>
      <c r="O138" s="23" t="s">
        <v>53</v>
      </c>
    </row>
    <row r="139" spans="1:15" x14ac:dyDescent="0.25">
      <c r="A139" s="1" t="s">
        <v>18</v>
      </c>
      <c r="B139" s="2">
        <v>137</v>
      </c>
      <c r="C139" s="3">
        <v>345349.28174900002</v>
      </c>
      <c r="D139" s="3">
        <v>6527143.5476200003</v>
      </c>
      <c r="E139" s="3" t="s">
        <v>19</v>
      </c>
      <c r="F139" s="2" t="s">
        <v>20</v>
      </c>
      <c r="G139" s="3">
        <v>1424.9164168624081</v>
      </c>
      <c r="H139" s="4">
        <v>63.881624566617134</v>
      </c>
      <c r="I139" s="4">
        <v>15.511507346871554</v>
      </c>
      <c r="J139" s="4">
        <v>20.606868086511316</v>
      </c>
      <c r="K139" s="5">
        <v>1.5483361003537199</v>
      </c>
      <c r="L139" s="5">
        <v>0.41572222628161498</v>
      </c>
      <c r="M139" s="5">
        <v>0.18773559958362898</v>
      </c>
      <c r="N139" s="3">
        <v>1.40623052615767</v>
      </c>
      <c r="O139" s="23" t="s">
        <v>55</v>
      </c>
    </row>
    <row r="140" spans="1:15" x14ac:dyDescent="0.25">
      <c r="A140" s="1" t="s">
        <v>18</v>
      </c>
      <c r="B140" s="2">
        <v>138</v>
      </c>
      <c r="C140" s="3">
        <v>345349.28174900002</v>
      </c>
      <c r="D140" s="3">
        <v>6527118.7591599897</v>
      </c>
      <c r="E140" s="3" t="s">
        <v>19</v>
      </c>
      <c r="F140" s="2" t="s">
        <v>20</v>
      </c>
      <c r="G140" s="3">
        <v>521.76214518286565</v>
      </c>
      <c r="H140" s="4">
        <v>73.120577977080217</v>
      </c>
      <c r="I140" s="4">
        <v>13.858960305597151</v>
      </c>
      <c r="J140" s="4">
        <v>13.020461717322632</v>
      </c>
      <c r="K140" s="5">
        <v>1.5668057096439301</v>
      </c>
      <c r="L140" s="5">
        <v>0.40875256239851793</v>
      </c>
      <c r="M140" s="5">
        <v>0.19977750497757399</v>
      </c>
      <c r="N140" s="3">
        <v>1.41195802209507</v>
      </c>
      <c r="O140" s="23" t="s">
        <v>55</v>
      </c>
    </row>
    <row r="141" spans="1:15" x14ac:dyDescent="0.25">
      <c r="A141" s="1" t="s">
        <v>18</v>
      </c>
      <c r="B141" s="2">
        <v>139</v>
      </c>
      <c r="C141" s="3">
        <v>345374.48687700002</v>
      </c>
      <c r="D141" s="3">
        <v>6527292.2784000002</v>
      </c>
      <c r="E141" s="3" t="s">
        <v>19</v>
      </c>
      <c r="F141" s="2" t="s">
        <v>20</v>
      </c>
      <c r="G141" s="3">
        <v>364.36310487818878</v>
      </c>
      <c r="H141" s="4">
        <v>65.841135458167344</v>
      </c>
      <c r="I141" s="4">
        <v>13.539707835325274</v>
      </c>
      <c r="J141" s="4">
        <v>20.619156706507379</v>
      </c>
      <c r="K141" s="5">
        <v>1.6243009510228901</v>
      </c>
      <c r="L141" s="5">
        <v>0.387056244897024</v>
      </c>
      <c r="M141" s="5">
        <v>0.15724222214136899</v>
      </c>
      <c r="N141" s="3">
        <v>1.4176855180324699</v>
      </c>
      <c r="O141" s="23" t="s">
        <v>55</v>
      </c>
    </row>
    <row r="142" spans="1:15" x14ac:dyDescent="0.25">
      <c r="A142" s="1" t="s">
        <v>18</v>
      </c>
      <c r="B142" s="2">
        <v>140</v>
      </c>
      <c r="C142" s="3">
        <v>345374.48687700002</v>
      </c>
      <c r="D142" s="3">
        <v>6527267.4899399905</v>
      </c>
      <c r="E142" s="3" t="s">
        <v>19</v>
      </c>
      <c r="F142" s="2" t="s">
        <v>20</v>
      </c>
      <c r="G142" s="3">
        <v>173.11868439148705</v>
      </c>
      <c r="H142" s="4">
        <v>58.478999999999992</v>
      </c>
      <c r="I142" s="4">
        <v>18.0923666666665</v>
      </c>
      <c r="J142" s="4">
        <v>23.428633333333512</v>
      </c>
      <c r="K142" s="5">
        <v>1.6491830879242</v>
      </c>
      <c r="L142" s="5">
        <v>0.37766675927388504</v>
      </c>
      <c r="M142" s="5">
        <v>0.11481365510430401</v>
      </c>
      <c r="N142" s="3">
        <v>1.42341301396987</v>
      </c>
      <c r="O142" s="23" t="s">
        <v>55</v>
      </c>
    </row>
    <row r="143" spans="1:15" x14ac:dyDescent="0.25">
      <c r="A143" s="1" t="s">
        <v>18</v>
      </c>
      <c r="B143" s="2">
        <v>141</v>
      </c>
      <c r="C143" s="3">
        <v>345374.48687700002</v>
      </c>
      <c r="D143" s="3">
        <v>6527242.7014699904</v>
      </c>
      <c r="E143" s="3" t="s">
        <v>19</v>
      </c>
      <c r="F143" s="2" t="s">
        <v>20</v>
      </c>
      <c r="G143" s="3">
        <v>195.12227619909623</v>
      </c>
      <c r="H143" s="4">
        <v>56.670822942643397</v>
      </c>
      <c r="I143" s="4">
        <v>12.513682460515724</v>
      </c>
      <c r="J143" s="4">
        <v>30.815494596840878</v>
      </c>
      <c r="K143" s="5">
        <v>1.37334409501522</v>
      </c>
      <c r="L143" s="5">
        <v>0.48175694527727697</v>
      </c>
      <c r="M143" s="5">
        <v>0.25056368439055898</v>
      </c>
      <c r="N143" s="3">
        <v>1.42914050990728</v>
      </c>
      <c r="O143" s="23" t="s">
        <v>55</v>
      </c>
    </row>
    <row r="144" spans="1:15" x14ac:dyDescent="0.25">
      <c r="A144" s="1" t="s">
        <v>18</v>
      </c>
      <c r="B144" s="2">
        <v>142</v>
      </c>
      <c r="C144" s="3">
        <v>345374.48687700002</v>
      </c>
      <c r="D144" s="3">
        <v>6527193.1245499896</v>
      </c>
      <c r="E144" s="3" t="s">
        <v>19</v>
      </c>
      <c r="F144" s="2" t="s">
        <v>20</v>
      </c>
      <c r="G144" s="3">
        <v>344.10612130761598</v>
      </c>
      <c r="H144" s="4">
        <v>61.051116625310179</v>
      </c>
      <c r="I144" s="4">
        <v>18.471530190239982</v>
      </c>
      <c r="J144" s="4">
        <v>20.477353184449843</v>
      </c>
      <c r="K144" s="5">
        <v>1.22927216706133</v>
      </c>
      <c r="L144" s="5">
        <v>0.53612371054289298</v>
      </c>
      <c r="M144" s="5">
        <v>0.29237282128172298</v>
      </c>
      <c r="N144" s="3">
        <v>1.4348680058446801</v>
      </c>
      <c r="O144" s="23" t="s">
        <v>55</v>
      </c>
    </row>
    <row r="145" spans="1:15" x14ac:dyDescent="0.25">
      <c r="A145" s="1" t="s">
        <v>18</v>
      </c>
      <c r="B145" s="2">
        <v>143</v>
      </c>
      <c r="C145" s="3">
        <v>345374.48687700002</v>
      </c>
      <c r="D145" s="3">
        <v>6527168.3360900003</v>
      </c>
      <c r="E145" s="3" t="s">
        <v>19</v>
      </c>
      <c r="F145" s="2" t="s">
        <v>20</v>
      </c>
      <c r="G145" s="3">
        <v>437.41330694609519</v>
      </c>
      <c r="H145" s="4">
        <v>69.69</v>
      </c>
      <c r="I145" s="4">
        <v>13.618066666666223</v>
      </c>
      <c r="J145" s="4">
        <v>16.691933333333782</v>
      </c>
      <c r="K145" s="5">
        <v>1.6148237032650801</v>
      </c>
      <c r="L145" s="5">
        <v>0.39063256480563097</v>
      </c>
      <c r="M145" s="5">
        <v>0.19492683356356599</v>
      </c>
      <c r="N145" s="3">
        <v>1.44059550178208</v>
      </c>
      <c r="O145" s="23" t="s">
        <v>55</v>
      </c>
    </row>
    <row r="146" spans="1:15" x14ac:dyDescent="0.25">
      <c r="A146" s="1" t="s">
        <v>18</v>
      </c>
      <c r="B146" s="2">
        <v>144</v>
      </c>
      <c r="C146" s="3">
        <v>345374.48687700002</v>
      </c>
      <c r="D146" s="3">
        <v>6527143.5476200003</v>
      </c>
      <c r="E146" s="3" t="s">
        <v>19</v>
      </c>
      <c r="F146" s="2" t="s">
        <v>20</v>
      </c>
      <c r="G146" s="3">
        <v>406.2545385238368</v>
      </c>
      <c r="H146" s="4">
        <v>65.836663336663349</v>
      </c>
      <c r="I146" s="4">
        <v>15.994771894772043</v>
      </c>
      <c r="J146" s="4">
        <v>18.168564768564607</v>
      </c>
      <c r="K146" s="5">
        <v>1.65384196560292</v>
      </c>
      <c r="L146" s="5">
        <v>0.37590869222531298</v>
      </c>
      <c r="M146" s="5">
        <v>0.158089994693526</v>
      </c>
      <c r="N146" s="3">
        <v>1.44632299771948</v>
      </c>
      <c r="O146" s="23" t="s">
        <v>55</v>
      </c>
    </row>
    <row r="147" spans="1:15" x14ac:dyDescent="0.25">
      <c r="A147" s="1" t="s">
        <v>18</v>
      </c>
      <c r="B147" s="2">
        <v>145</v>
      </c>
      <c r="C147" s="3">
        <v>345399.69200600003</v>
      </c>
      <c r="D147" s="3">
        <v>6527317.0668599904</v>
      </c>
      <c r="E147" s="3" t="s">
        <v>19</v>
      </c>
      <c r="F147" s="2" t="s">
        <v>20</v>
      </c>
      <c r="G147" s="3">
        <v>363.21418684897924</v>
      </c>
      <c r="H147" s="4">
        <v>65.880456349206341</v>
      </c>
      <c r="I147" s="4">
        <v>12.049173280422863</v>
      </c>
      <c r="J147" s="4">
        <v>22.070370370370789</v>
      </c>
      <c r="K147" s="5">
        <v>1.57367312038453</v>
      </c>
      <c r="L147" s="5">
        <v>0.40616108664734796</v>
      </c>
      <c r="M147" s="5">
        <v>0.17368664840872397</v>
      </c>
      <c r="N147" s="3">
        <v>1.4520504936568801</v>
      </c>
      <c r="O147" s="23" t="s">
        <v>55</v>
      </c>
    </row>
    <row r="148" spans="1:15" x14ac:dyDescent="0.25">
      <c r="A148" s="1" t="s">
        <v>18</v>
      </c>
      <c r="B148" s="2">
        <v>146</v>
      </c>
      <c r="C148" s="3">
        <v>345399.69200600003</v>
      </c>
      <c r="D148" s="3">
        <v>6527292.2784000002</v>
      </c>
      <c r="E148" s="3" t="s">
        <v>19</v>
      </c>
      <c r="F148" s="2" t="s">
        <v>20</v>
      </c>
      <c r="G148" s="3">
        <v>788.94846771099355</v>
      </c>
      <c r="H148" s="4">
        <v>63.112387612387629</v>
      </c>
      <c r="I148" s="4">
        <v>16.337828837828802</v>
      </c>
      <c r="J148" s="4">
        <v>20.549783549783573</v>
      </c>
      <c r="K148" s="5">
        <v>1.4815062994861199</v>
      </c>
      <c r="L148" s="5">
        <v>0.44094101906184302</v>
      </c>
      <c r="M148" s="5">
        <v>0.181117495451878</v>
      </c>
      <c r="N148" s="3">
        <v>1.4577779895942899</v>
      </c>
      <c r="O148" s="23" t="s">
        <v>55</v>
      </c>
    </row>
    <row r="149" spans="1:15" x14ac:dyDescent="0.25">
      <c r="A149" s="1" t="s">
        <v>18</v>
      </c>
      <c r="B149" s="2">
        <v>147</v>
      </c>
      <c r="C149" s="3">
        <v>345399.69200600003</v>
      </c>
      <c r="D149" s="3">
        <v>6527242.7014699904</v>
      </c>
      <c r="E149" s="3" t="s">
        <v>19</v>
      </c>
      <c r="F149" s="2" t="s">
        <v>20</v>
      </c>
      <c r="G149" s="3">
        <v>1610.7062961361248</v>
      </c>
      <c r="H149" s="4">
        <v>50.575485799701035</v>
      </c>
      <c r="I149" s="4">
        <v>15.881979737584764</v>
      </c>
      <c r="J149" s="4">
        <v>33.542534462714208</v>
      </c>
      <c r="K149" s="5">
        <v>1.31394668199174</v>
      </c>
      <c r="L149" s="5">
        <v>0.50417106339934203</v>
      </c>
      <c r="M149" s="5">
        <v>0.24123949199327702</v>
      </c>
      <c r="N149" s="3">
        <v>1.4692329814690901</v>
      </c>
      <c r="O149" s="23" t="s">
        <v>54</v>
      </c>
    </row>
    <row r="150" spans="1:15" x14ac:dyDescent="0.25">
      <c r="A150" s="1" t="s">
        <v>18</v>
      </c>
      <c r="B150" s="2">
        <v>148</v>
      </c>
      <c r="C150" s="3">
        <v>345399.69200600003</v>
      </c>
      <c r="D150" s="3">
        <v>6527217.9130100003</v>
      </c>
      <c r="E150" s="3" t="s">
        <v>19</v>
      </c>
      <c r="F150" s="2" t="s">
        <v>20</v>
      </c>
      <c r="G150" s="3">
        <v>1516.201135586095</v>
      </c>
      <c r="H150" s="4">
        <v>75.110283159463492</v>
      </c>
      <c r="I150" s="4">
        <v>14.446862063254997</v>
      </c>
      <c r="J150" s="4">
        <v>10.442854777281505</v>
      </c>
      <c r="K150" s="5">
        <v>1.5263787466019001</v>
      </c>
      <c r="L150" s="5">
        <v>0.42400802015022698</v>
      </c>
      <c r="M150" s="5">
        <v>0.26646042114428403</v>
      </c>
      <c r="N150" s="3">
        <v>1.4749604774064899</v>
      </c>
      <c r="O150" s="23" t="s">
        <v>55</v>
      </c>
    </row>
    <row r="151" spans="1:15" x14ac:dyDescent="0.25">
      <c r="A151" s="1" t="s">
        <v>18</v>
      </c>
      <c r="B151" s="2">
        <v>149</v>
      </c>
      <c r="C151" s="3">
        <v>345399.69200600003</v>
      </c>
      <c r="D151" s="3">
        <v>6527193.1245499896</v>
      </c>
      <c r="E151" s="3" t="s">
        <v>19</v>
      </c>
      <c r="F151" s="2" t="s">
        <v>20</v>
      </c>
      <c r="G151" s="3">
        <v>1469.6224449719978</v>
      </c>
      <c r="H151" s="4">
        <v>70.992023928215374</v>
      </c>
      <c r="I151" s="4">
        <v>13.050714523097454</v>
      </c>
      <c r="J151" s="4">
        <v>15.957261548687169</v>
      </c>
      <c r="K151" s="5">
        <v>1.48042257527915</v>
      </c>
      <c r="L151" s="5">
        <v>0.44134997159277395</v>
      </c>
      <c r="M151" s="5">
        <v>0.264646830611031</v>
      </c>
      <c r="N151" s="3">
        <v>1.48068797334389</v>
      </c>
      <c r="O151" s="23" t="s">
        <v>55</v>
      </c>
    </row>
    <row r="152" spans="1:15" x14ac:dyDescent="0.25">
      <c r="A152" s="1" t="s">
        <v>18</v>
      </c>
      <c r="B152" s="2">
        <v>150</v>
      </c>
      <c r="C152" s="3">
        <v>345399.69200600003</v>
      </c>
      <c r="D152" s="3">
        <v>6527143.5476200003</v>
      </c>
      <c r="E152" s="3" t="s">
        <v>19</v>
      </c>
      <c r="F152" s="2" t="s">
        <v>20</v>
      </c>
      <c r="G152" s="3">
        <v>413.68962056563919</v>
      </c>
      <c r="H152" s="4">
        <v>74.043240556660038</v>
      </c>
      <c r="I152" s="4">
        <v>13.832074221338843</v>
      </c>
      <c r="J152" s="4">
        <v>12.124685222001126</v>
      </c>
      <c r="K152" s="41">
        <v>1.7553184837659299</v>
      </c>
      <c r="L152" s="41">
        <v>0.33761566650342234</v>
      </c>
      <c r="M152" s="41">
        <v>8.7042240784683311E-2</v>
      </c>
      <c r="N152" s="41">
        <v>1.4921429652186999</v>
      </c>
      <c r="O152" s="42" t="s">
        <v>55</v>
      </c>
    </row>
    <row r="153" spans="1:15" x14ac:dyDescent="0.25">
      <c r="A153" s="1" t="s">
        <v>18</v>
      </c>
      <c r="B153" s="2">
        <v>151</v>
      </c>
      <c r="C153" s="3">
        <v>345399.69200600003</v>
      </c>
      <c r="D153" s="3">
        <v>6527118.7591599897</v>
      </c>
      <c r="E153" s="3" t="s">
        <v>19</v>
      </c>
      <c r="F153" s="2" t="s">
        <v>20</v>
      </c>
      <c r="G153" s="3">
        <v>500.11714563509997</v>
      </c>
      <c r="H153" s="4">
        <v>65.441571357533547</v>
      </c>
      <c r="I153" s="4">
        <v>16.210011602851068</v>
      </c>
      <c r="J153" s="4">
        <v>18.348417039615388</v>
      </c>
      <c r="K153" s="5">
        <v>1.5117138880116101</v>
      </c>
      <c r="L153" s="5">
        <v>0.42954192905222199</v>
      </c>
      <c r="M153" s="5">
        <v>0.17328996402976099</v>
      </c>
      <c r="N153" s="3">
        <v>1.4978704611561</v>
      </c>
      <c r="O153" s="23" t="s">
        <v>55</v>
      </c>
    </row>
    <row r="154" spans="1:15" x14ac:dyDescent="0.25">
      <c r="A154" s="1" t="s">
        <v>18</v>
      </c>
      <c r="B154" s="2">
        <v>152</v>
      </c>
      <c r="C154" s="3">
        <v>345424.89713400003</v>
      </c>
      <c r="D154" s="3">
        <v>6527317.0668599904</v>
      </c>
      <c r="E154" s="3" t="s">
        <v>19</v>
      </c>
      <c r="F154" s="2" t="s">
        <v>20</v>
      </c>
      <c r="G154" s="3">
        <v>88.662928251477837</v>
      </c>
      <c r="H154" s="4">
        <v>69.899850523168908</v>
      </c>
      <c r="I154" s="4">
        <v>16.385218402259383</v>
      </c>
      <c r="J154" s="4">
        <v>13.714931074571712</v>
      </c>
      <c r="K154" s="5">
        <v>1.7142401153659499</v>
      </c>
      <c r="L154" s="5">
        <v>0.35311693759775503</v>
      </c>
      <c r="M154" s="5">
        <v>0.127404785126179</v>
      </c>
      <c r="N154" s="3">
        <v>1.5035979570935001</v>
      </c>
      <c r="O154" s="23" t="s">
        <v>55</v>
      </c>
    </row>
    <row r="155" spans="1:15" x14ac:dyDescent="0.25">
      <c r="A155" s="1" t="s">
        <v>18</v>
      </c>
      <c r="B155" s="2">
        <v>153</v>
      </c>
      <c r="C155" s="3">
        <v>345424.89713400003</v>
      </c>
      <c r="D155" s="3">
        <v>6527292.2784000002</v>
      </c>
      <c r="E155" s="3" t="s">
        <v>19</v>
      </c>
      <c r="F155" s="2" t="s">
        <v>20</v>
      </c>
      <c r="G155" s="3">
        <v>230.0191427451665</v>
      </c>
      <c r="H155" s="4">
        <v>70.564395822973637</v>
      </c>
      <c r="I155" s="4">
        <v>15.265804740593722</v>
      </c>
      <c r="J155" s="4">
        <v>14.169799436432641</v>
      </c>
      <c r="K155" s="5">
        <v>1.5772955804492199</v>
      </c>
      <c r="L155" s="5">
        <v>0.40479412058520098</v>
      </c>
      <c r="M155" s="5">
        <v>0.175719600971453</v>
      </c>
      <c r="N155" s="3">
        <v>1.5093254530308999</v>
      </c>
      <c r="O155" s="23" t="s">
        <v>55</v>
      </c>
    </row>
    <row r="156" spans="1:15" x14ac:dyDescent="0.25">
      <c r="A156" s="1" t="s">
        <v>18</v>
      </c>
      <c r="B156" s="2">
        <v>154</v>
      </c>
      <c r="C156" s="3">
        <v>345424.89713400003</v>
      </c>
      <c r="D156" s="3">
        <v>6527267.4899399905</v>
      </c>
      <c r="E156" s="3" t="s">
        <v>19</v>
      </c>
      <c r="F156" s="2" t="s">
        <v>20</v>
      </c>
      <c r="G156" s="3">
        <v>128.84179025322888</v>
      </c>
      <c r="H156" s="4">
        <v>64.354870775347919</v>
      </c>
      <c r="I156" s="4">
        <v>16.703445990722358</v>
      </c>
      <c r="J156" s="4">
        <v>18.941683233929719</v>
      </c>
      <c r="K156" s="5">
        <v>1.6417581175027001</v>
      </c>
      <c r="L156" s="5">
        <v>0.38046863490464217</v>
      </c>
      <c r="M156" s="5">
        <v>9.9977469193657201E-2</v>
      </c>
      <c r="N156" s="3">
        <v>1.5150529489683</v>
      </c>
      <c r="O156" s="23" t="s">
        <v>55</v>
      </c>
    </row>
    <row r="157" spans="1:15" x14ac:dyDescent="0.25">
      <c r="A157" s="1" t="s">
        <v>18</v>
      </c>
      <c r="B157" s="2">
        <v>155</v>
      </c>
      <c r="C157" s="3">
        <v>345424.89713400003</v>
      </c>
      <c r="D157" s="3">
        <v>6527242.7014699904</v>
      </c>
      <c r="E157" s="3" t="s">
        <v>19</v>
      </c>
      <c r="F157" s="2" t="s">
        <v>20</v>
      </c>
      <c r="G157" s="3">
        <v>87.643217029725832</v>
      </c>
      <c r="H157" s="4">
        <v>62.034260178748752</v>
      </c>
      <c r="I157" s="4">
        <v>13.937702747434798</v>
      </c>
      <c r="J157" s="4">
        <v>24.028037073816442</v>
      </c>
      <c r="K157" s="5">
        <v>1.55796691953203</v>
      </c>
      <c r="L157" s="5">
        <v>0.41208795489357397</v>
      </c>
      <c r="M157" s="5">
        <v>0.18801402838235601</v>
      </c>
      <c r="N157" s="3">
        <v>1.5207804449057101</v>
      </c>
      <c r="O157" s="23" t="s">
        <v>55</v>
      </c>
    </row>
    <row r="158" spans="1:15" x14ac:dyDescent="0.25">
      <c r="A158" s="1" t="s">
        <v>18</v>
      </c>
      <c r="B158" s="2">
        <v>156</v>
      </c>
      <c r="C158" s="3">
        <v>345424.89713400003</v>
      </c>
      <c r="D158" s="3">
        <v>6527217.9130100003</v>
      </c>
      <c r="E158" s="3" t="s">
        <v>19</v>
      </c>
      <c r="F158" s="2" t="s">
        <v>20</v>
      </c>
      <c r="G158" s="3">
        <v>1443.756685490436</v>
      </c>
      <c r="H158" s="4">
        <v>71.518647439085044</v>
      </c>
      <c r="I158" s="4">
        <v>14.130747555112833</v>
      </c>
      <c r="J158" s="4">
        <v>14.35060500580212</v>
      </c>
      <c r="K158" s="5">
        <v>1.4630801238929401</v>
      </c>
      <c r="L158" s="5">
        <v>0.44789429287058902</v>
      </c>
      <c r="M158" s="5">
        <v>0.29902300029171902</v>
      </c>
      <c r="N158" s="3">
        <v>1.5265079408431099</v>
      </c>
      <c r="O158" s="23" t="s">
        <v>55</v>
      </c>
    </row>
    <row r="159" spans="1:15" x14ac:dyDescent="0.25">
      <c r="A159" s="1" t="s">
        <v>18</v>
      </c>
      <c r="B159" s="2">
        <v>157</v>
      </c>
      <c r="C159" s="3">
        <v>345424.89713400003</v>
      </c>
      <c r="D159" s="3">
        <v>6527193.1245499896</v>
      </c>
      <c r="E159" s="3" t="s">
        <v>19</v>
      </c>
      <c r="F159" s="2" t="s">
        <v>20</v>
      </c>
      <c r="G159" s="3">
        <v>2959.7720434876078</v>
      </c>
      <c r="H159" s="4">
        <v>68.957235206364984</v>
      </c>
      <c r="I159" s="4">
        <v>15.105088678932688</v>
      </c>
      <c r="J159" s="4">
        <v>15.93767611470232</v>
      </c>
      <c r="K159" s="5">
        <v>1.55440355441014</v>
      </c>
      <c r="L159" s="5">
        <v>0.41343262097730504</v>
      </c>
      <c r="M159" s="5">
        <v>0.25586848709500098</v>
      </c>
      <c r="N159" s="3">
        <v>1.53223543678051</v>
      </c>
      <c r="O159" s="23" t="s">
        <v>55</v>
      </c>
    </row>
    <row r="160" spans="1:15" x14ac:dyDescent="0.25">
      <c r="A160" s="1" t="s">
        <v>18</v>
      </c>
      <c r="B160" s="2">
        <v>158</v>
      </c>
      <c r="C160" s="3">
        <v>345424.89713400003</v>
      </c>
      <c r="D160" s="3">
        <v>6527168.3360900003</v>
      </c>
      <c r="E160" s="3" t="s">
        <v>19</v>
      </c>
      <c r="F160" s="2" t="s">
        <v>20</v>
      </c>
      <c r="G160" s="3">
        <v>5799.0518227535276</v>
      </c>
      <c r="H160" s="4">
        <v>74.569154228855709</v>
      </c>
      <c r="I160" s="4">
        <v>14.379469320066164</v>
      </c>
      <c r="J160" s="4">
        <v>11.051376451078131</v>
      </c>
      <c r="K160" s="5">
        <v>1.5143512181743399</v>
      </c>
      <c r="L160" s="5">
        <v>0.42854671012289103</v>
      </c>
      <c r="M160" s="5">
        <v>0.287473120729072</v>
      </c>
      <c r="N160" s="3">
        <v>1.5379629327179101</v>
      </c>
      <c r="O160" s="23" t="s">
        <v>55</v>
      </c>
    </row>
    <row r="161" spans="1:15" x14ac:dyDescent="0.25">
      <c r="A161" s="1" t="s">
        <v>18</v>
      </c>
      <c r="B161" s="2">
        <v>159</v>
      </c>
      <c r="C161" s="3">
        <v>345424.89713400003</v>
      </c>
      <c r="D161" s="3">
        <v>6527143.5476200003</v>
      </c>
      <c r="E161" s="3" t="s">
        <v>19</v>
      </c>
      <c r="F161" s="2" t="s">
        <v>20</v>
      </c>
      <c r="G161" s="3">
        <v>1459.5968177272296</v>
      </c>
      <c r="H161" s="4">
        <v>61.224327018943178</v>
      </c>
      <c r="I161" s="4">
        <v>18.961681621801397</v>
      </c>
      <c r="J161" s="4">
        <v>19.813991359255422</v>
      </c>
      <c r="K161" s="5">
        <v>1.52214304248973</v>
      </c>
      <c r="L161" s="5">
        <v>0.42560639906048103</v>
      </c>
      <c r="M161" s="5">
        <v>0.18240262881702102</v>
      </c>
      <c r="N161" s="3">
        <v>1.5436904286553099</v>
      </c>
      <c r="O161" s="23" t="s">
        <v>55</v>
      </c>
    </row>
    <row r="162" spans="1:15" x14ac:dyDescent="0.25">
      <c r="A162" s="1" t="s">
        <v>18</v>
      </c>
      <c r="B162" s="2">
        <v>160</v>
      </c>
      <c r="C162" s="3">
        <v>345424.89713400003</v>
      </c>
      <c r="D162" s="3">
        <v>6527118.7591599897</v>
      </c>
      <c r="E162" s="3" t="s">
        <v>19</v>
      </c>
      <c r="F162" s="2" t="s">
        <v>20</v>
      </c>
      <c r="G162" s="3">
        <v>3233.006951265816</v>
      </c>
      <c r="H162" s="4">
        <v>70.136091724825533</v>
      </c>
      <c r="I162" s="4">
        <v>15.386905948819347</v>
      </c>
      <c r="J162" s="4">
        <v>14.477002326355114</v>
      </c>
      <c r="K162" s="5">
        <v>1.36562484230681</v>
      </c>
      <c r="L162" s="5">
        <v>0.48466987082761903</v>
      </c>
      <c r="M162" s="5">
        <v>0.26414750474381898</v>
      </c>
      <c r="N162" s="3">
        <v>1.54941792459272</v>
      </c>
      <c r="O162" s="23" t="s">
        <v>55</v>
      </c>
    </row>
    <row r="163" spans="1:15" x14ac:dyDescent="0.25">
      <c r="A163" s="1" t="s">
        <v>18</v>
      </c>
      <c r="B163" s="2">
        <v>161</v>
      </c>
      <c r="C163" s="3">
        <v>345450.10226199898</v>
      </c>
      <c r="D163" s="3">
        <v>6527267.4899399905</v>
      </c>
      <c r="E163" s="3" t="s">
        <v>19</v>
      </c>
      <c r="F163" s="2" t="s">
        <v>20</v>
      </c>
      <c r="G163" s="3">
        <v>1116.5915655613296</v>
      </c>
      <c r="H163" s="4">
        <v>62.382352941176478</v>
      </c>
      <c r="I163" s="4">
        <v>19.696776337653731</v>
      </c>
      <c r="J163" s="4">
        <v>17.920870721169798</v>
      </c>
      <c r="K163" s="5">
        <v>1.3639055716724999</v>
      </c>
      <c r="L163" s="5">
        <v>0.48531865219905596</v>
      </c>
      <c r="M163" s="5">
        <v>0.283076981270309</v>
      </c>
      <c r="N163" s="3">
        <v>1.5551454205301201</v>
      </c>
      <c r="O163" s="23" t="s">
        <v>55</v>
      </c>
    </row>
    <row r="164" spans="1:15" x14ac:dyDescent="0.25">
      <c r="A164" s="1" t="s">
        <v>18</v>
      </c>
      <c r="B164" s="2">
        <v>162</v>
      </c>
      <c r="C164" s="3">
        <v>345450.10226199898</v>
      </c>
      <c r="D164" s="3">
        <v>6527242.7014699904</v>
      </c>
      <c r="E164" s="3" t="s">
        <v>19</v>
      </c>
      <c r="F164" s="2" t="s">
        <v>20</v>
      </c>
      <c r="G164" s="3">
        <v>642.22259979998159</v>
      </c>
      <c r="H164" s="4">
        <v>74.18981710331191</v>
      </c>
      <c r="I164" s="4">
        <v>14.899719887955186</v>
      </c>
      <c r="J164" s="4">
        <v>10.910463008732901</v>
      </c>
      <c r="K164" s="5">
        <v>1.6043585198407799</v>
      </c>
      <c r="L164" s="5">
        <v>0.39458169062611903</v>
      </c>
      <c r="M164" s="5">
        <v>0.16210445174169699</v>
      </c>
      <c r="N164" s="3">
        <v>1.5608729164675199</v>
      </c>
      <c r="O164" s="23" t="s">
        <v>55</v>
      </c>
    </row>
    <row r="165" spans="1:15" x14ac:dyDescent="0.25">
      <c r="A165" s="1" t="s">
        <v>18</v>
      </c>
      <c r="B165" s="2">
        <v>163</v>
      </c>
      <c r="C165" s="3">
        <v>345450.10226199898</v>
      </c>
      <c r="D165" s="3">
        <v>6527193.1245499896</v>
      </c>
      <c r="E165" s="3" t="s">
        <v>19</v>
      </c>
      <c r="F165" s="2" t="s">
        <v>20</v>
      </c>
      <c r="G165" s="3">
        <v>985.22785196587915</v>
      </c>
      <c r="H165" s="4">
        <v>65.270054808171409</v>
      </c>
      <c r="I165" s="4">
        <v>16.405347948845616</v>
      </c>
      <c r="J165" s="4">
        <v>18.324597242982975</v>
      </c>
      <c r="K165" s="5">
        <v>1.4103847265302101</v>
      </c>
      <c r="L165" s="5">
        <v>0.46777934847916697</v>
      </c>
      <c r="M165" s="5">
        <v>0.25501635707111198</v>
      </c>
      <c r="N165" s="3">
        <v>1.56660041240493</v>
      </c>
      <c r="O165" s="23" t="s">
        <v>55</v>
      </c>
    </row>
    <row r="166" spans="1:15" x14ac:dyDescent="0.25">
      <c r="A166" s="1" t="s">
        <v>18</v>
      </c>
      <c r="B166" s="2">
        <v>164</v>
      </c>
      <c r="C166" s="3">
        <v>345450.10226199898</v>
      </c>
      <c r="D166" s="3">
        <v>6527168.3360900003</v>
      </c>
      <c r="E166" s="3" t="s">
        <v>19</v>
      </c>
      <c r="F166" s="2" t="s">
        <v>20</v>
      </c>
      <c r="G166" s="3">
        <v>386.79315669771597</v>
      </c>
      <c r="H166" s="4">
        <v>64.51940298507462</v>
      </c>
      <c r="I166" s="4">
        <v>14.188524046433542</v>
      </c>
      <c r="J166" s="4">
        <v>21.292072968491834</v>
      </c>
      <c r="K166" s="5">
        <v>1.4271383494620999</v>
      </c>
      <c r="L166" s="5">
        <v>0.46145722661807698</v>
      </c>
      <c r="M166" s="5">
        <v>0.252166754384478</v>
      </c>
      <c r="N166" s="3">
        <v>1.57232790834233</v>
      </c>
      <c r="O166" s="23" t="s">
        <v>55</v>
      </c>
    </row>
    <row r="167" spans="1:15" x14ac:dyDescent="0.25">
      <c r="A167" s="1" t="s">
        <v>18</v>
      </c>
      <c r="B167" s="2">
        <v>165</v>
      </c>
      <c r="C167" s="3">
        <v>345450.10226199997</v>
      </c>
      <c r="D167" s="3">
        <v>6527267.4899350004</v>
      </c>
      <c r="E167" s="3" t="s">
        <v>19</v>
      </c>
      <c r="F167" s="2" t="s">
        <v>20</v>
      </c>
      <c r="G167" s="3">
        <v>430.581061229532</v>
      </c>
      <c r="H167" s="4">
        <v>69.129112662013966</v>
      </c>
      <c r="I167" s="4">
        <v>13.342738451312186</v>
      </c>
      <c r="J167" s="4">
        <v>17.528148886673844</v>
      </c>
      <c r="K167" s="5">
        <v>1.3616653880721299</v>
      </c>
      <c r="L167" s="5">
        <v>0.48616400450108299</v>
      </c>
      <c r="M167" s="5">
        <v>0.29597414983224302</v>
      </c>
      <c r="N167" s="3">
        <v>1.58378290021713</v>
      </c>
      <c r="O167" s="23" t="s">
        <v>55</v>
      </c>
    </row>
    <row r="168" spans="1:15" x14ac:dyDescent="0.25">
      <c r="A168" s="1" t="s">
        <v>18</v>
      </c>
      <c r="B168" s="2">
        <v>166</v>
      </c>
      <c r="C168" s="3">
        <v>345450.10226199997</v>
      </c>
      <c r="D168" s="3">
        <v>6527242.7014725003</v>
      </c>
      <c r="E168" s="3" t="s">
        <v>19</v>
      </c>
      <c r="F168" s="2" t="s">
        <v>20</v>
      </c>
      <c r="G168" s="3">
        <v>1809.9000539817648</v>
      </c>
      <c r="H168" s="4">
        <v>77.108067729083658</v>
      </c>
      <c r="I168" s="4">
        <v>14.797177954847683</v>
      </c>
      <c r="J168" s="4">
        <v>8.0947543160686575</v>
      </c>
      <c r="K168" s="5">
        <v>1.2453245183545001</v>
      </c>
      <c r="L168" s="5">
        <v>0.53006621948886901</v>
      </c>
      <c r="M168" s="5">
        <v>0.37051922985060398</v>
      </c>
      <c r="N168" s="3">
        <v>1.58951039615453</v>
      </c>
      <c r="O168" s="23" t="s">
        <v>55</v>
      </c>
    </row>
    <row r="169" spans="1:15" x14ac:dyDescent="0.25">
      <c r="A169" s="1" t="s">
        <v>18</v>
      </c>
      <c r="B169" s="2">
        <v>167</v>
      </c>
      <c r="C169" s="3">
        <v>345450.10226199997</v>
      </c>
      <c r="D169" s="3">
        <v>6527193.1245475002</v>
      </c>
      <c r="E169" s="3" t="s">
        <v>19</v>
      </c>
      <c r="F169" s="2" t="s">
        <v>20</v>
      </c>
      <c r="G169" s="3">
        <v>80.277824974997515</v>
      </c>
      <c r="H169" s="4">
        <v>61.154114713216963</v>
      </c>
      <c r="I169" s="4">
        <v>15.747697423109152</v>
      </c>
      <c r="J169" s="4">
        <v>23.098187863673886</v>
      </c>
      <c r="K169" s="5">
        <v>1.54102765463381</v>
      </c>
      <c r="L169" s="5">
        <v>0.41848013032686299</v>
      </c>
      <c r="M169" s="5">
        <v>0.16056968902306701</v>
      </c>
      <c r="N169" s="3">
        <v>1.5952378920919299</v>
      </c>
      <c r="O169" s="23" t="s">
        <v>55</v>
      </c>
    </row>
    <row r="170" spans="1:15" x14ac:dyDescent="0.25">
      <c r="A170" s="1" t="s">
        <v>18</v>
      </c>
      <c r="B170" s="2">
        <v>168</v>
      </c>
      <c r="C170" s="3">
        <v>345450.10226199997</v>
      </c>
      <c r="D170" s="3">
        <v>6527168.3360850001</v>
      </c>
      <c r="E170" s="3" t="s">
        <v>19</v>
      </c>
      <c r="F170" s="2" t="s">
        <v>20</v>
      </c>
      <c r="G170" s="3">
        <v>2977.5775081635602</v>
      </c>
      <c r="H170" s="4">
        <v>73.989541832669318</v>
      </c>
      <c r="I170" s="4">
        <v>18.237616201858884</v>
      </c>
      <c r="J170" s="4">
        <v>7.7728419654717982</v>
      </c>
      <c r="K170" s="5">
        <v>1.3437899403418201</v>
      </c>
      <c r="L170" s="5">
        <v>0.49290945647478396</v>
      </c>
      <c r="M170" s="5">
        <v>0.32692749744046801</v>
      </c>
      <c r="N170" s="3">
        <v>1.60096538802934</v>
      </c>
      <c r="O170" s="23" t="s">
        <v>55</v>
      </c>
    </row>
    <row r="171" spans="1:15" ht="15.75" thickBot="1" x14ac:dyDescent="0.3">
      <c r="A171" s="7" t="s">
        <v>18</v>
      </c>
      <c r="B171" s="2">
        <v>169</v>
      </c>
      <c r="C171" s="9">
        <v>345450.10226199997</v>
      </c>
      <c r="D171" s="9">
        <v>6527143.5476225</v>
      </c>
      <c r="E171" s="9" t="s">
        <v>19</v>
      </c>
      <c r="F171" s="8" t="s">
        <v>20</v>
      </c>
      <c r="G171" s="9">
        <v>642.22259979998159</v>
      </c>
      <c r="H171" s="10">
        <v>73.15350223546946</v>
      </c>
      <c r="I171" s="10">
        <v>16.473886405033625</v>
      </c>
      <c r="J171" s="10">
        <v>10.372611359496911</v>
      </c>
      <c r="K171" s="11">
        <v>1.2596242883762101</v>
      </c>
      <c r="L171" s="11">
        <v>0.52467007985803205</v>
      </c>
      <c r="M171" s="11">
        <v>0.35112956202222401</v>
      </c>
      <c r="N171" s="9">
        <v>1.60669288396674</v>
      </c>
      <c r="O171" s="23" t="s">
        <v>54</v>
      </c>
    </row>
    <row r="172" spans="1:15" x14ac:dyDescent="0.25">
      <c r="A172" s="1" t="s">
        <v>21</v>
      </c>
      <c r="B172" s="2">
        <v>170</v>
      </c>
      <c r="C172" s="3">
        <v>360867.31</v>
      </c>
      <c r="D172" s="3">
        <v>6506087.6399999997</v>
      </c>
      <c r="E172" s="3" t="s">
        <v>19</v>
      </c>
      <c r="F172" s="2" t="s">
        <v>20</v>
      </c>
      <c r="G172" s="3">
        <v>59.570399999999999</v>
      </c>
      <c r="H172" s="4">
        <v>59.166666666666657</v>
      </c>
      <c r="I172" s="4">
        <v>24.854133333333579</v>
      </c>
      <c r="J172" s="4">
        <v>15.979199999999764</v>
      </c>
      <c r="K172" s="5">
        <v>1.3994731872936568</v>
      </c>
      <c r="L172" s="3">
        <v>0.44174320822024138</v>
      </c>
      <c r="M172" s="5">
        <v>6.2264418303574376E-2</v>
      </c>
      <c r="N172" s="3">
        <v>2.6445933014354068</v>
      </c>
      <c r="O172" s="23" t="s">
        <v>56</v>
      </c>
    </row>
    <row r="173" spans="1:15" x14ac:dyDescent="0.25">
      <c r="A173" s="1" t="s">
        <v>21</v>
      </c>
      <c r="B173" s="2">
        <v>171</v>
      </c>
      <c r="C173" s="3">
        <v>360654.31</v>
      </c>
      <c r="D173" s="3">
        <v>6506231.6600000001</v>
      </c>
      <c r="E173" s="3" t="s">
        <v>19</v>
      </c>
      <c r="F173" s="2" t="s">
        <v>20</v>
      </c>
      <c r="G173" s="3">
        <v>136.9392</v>
      </c>
      <c r="H173" s="4">
        <v>75.366666666666646</v>
      </c>
      <c r="I173" s="4">
        <v>14.090133333333711</v>
      </c>
      <c r="J173" s="4">
        <v>10.543199999999642</v>
      </c>
      <c r="K173" s="5">
        <v>1.3656278065736913</v>
      </c>
      <c r="L173" s="3">
        <v>0.45429732227276332</v>
      </c>
      <c r="M173" s="5">
        <v>0.11611616172775363</v>
      </c>
      <c r="N173" s="3">
        <v>2.1425608798114695</v>
      </c>
      <c r="O173" s="23" t="s">
        <v>52</v>
      </c>
    </row>
    <row r="174" spans="1:15" x14ac:dyDescent="0.25">
      <c r="A174" s="1" t="s">
        <v>21</v>
      </c>
      <c r="B174" s="2">
        <v>172</v>
      </c>
      <c r="C174" s="3">
        <v>360441.31</v>
      </c>
      <c r="D174" s="3">
        <v>6506375.6699999999</v>
      </c>
      <c r="E174" s="3" t="s">
        <v>19</v>
      </c>
      <c r="F174" s="2" t="s">
        <v>20</v>
      </c>
      <c r="G174" s="3">
        <v>3.3311999999999999</v>
      </c>
      <c r="H174" s="4">
        <v>42.966666666666669</v>
      </c>
      <c r="I174" s="4">
        <v>35.618133333333446</v>
      </c>
      <c r="J174" s="4">
        <v>21.415199999999885</v>
      </c>
      <c r="K174" s="5">
        <v>1.4130011184519429</v>
      </c>
      <c r="L174" s="3">
        <v>0.42438469425337449</v>
      </c>
      <c r="M174" s="5">
        <v>3.5732457456838063E-2</v>
      </c>
      <c r="N174" s="3">
        <v>2.2774571586511887</v>
      </c>
      <c r="O174" s="23" t="s">
        <v>52</v>
      </c>
    </row>
    <row r="175" spans="1:15" x14ac:dyDescent="0.25">
      <c r="A175" s="1" t="s">
        <v>21</v>
      </c>
      <c r="B175" s="2">
        <v>173</v>
      </c>
      <c r="C175" s="3">
        <v>360228.31</v>
      </c>
      <c r="D175" s="3">
        <v>6506519.6799999997</v>
      </c>
      <c r="E175" s="3" t="s">
        <v>19</v>
      </c>
      <c r="F175" s="2" t="s">
        <v>20</v>
      </c>
      <c r="G175" s="3">
        <v>28.070399999999999</v>
      </c>
      <c r="H175" s="4">
        <v>45.600000000000009</v>
      </c>
      <c r="I175" s="4">
        <v>34.412800000000473</v>
      </c>
      <c r="J175" s="4">
        <v>19.987199999999518</v>
      </c>
      <c r="K175" s="5">
        <v>1.4014161005220676</v>
      </c>
      <c r="L175" s="3">
        <v>0.45327861036431438</v>
      </c>
      <c r="M175" s="5">
        <v>4.2504978127280782E-2</v>
      </c>
      <c r="N175" s="3">
        <v>2.4606567164179114</v>
      </c>
      <c r="O175" s="23" t="s">
        <v>52</v>
      </c>
    </row>
    <row r="176" spans="1:15" x14ac:dyDescent="0.25">
      <c r="A176" s="1" t="s">
        <v>21</v>
      </c>
      <c r="B176" s="2">
        <v>174</v>
      </c>
      <c r="C176" s="3">
        <v>360015.3</v>
      </c>
      <c r="D176" s="3">
        <v>6506663.6900000004</v>
      </c>
      <c r="E176" s="3" t="s">
        <v>19</v>
      </c>
      <c r="F176" s="2" t="s">
        <v>20</v>
      </c>
      <c r="G176" s="3">
        <v>29.311199999999999</v>
      </c>
      <c r="H176" s="4">
        <v>45.95</v>
      </c>
      <c r="I176" s="4">
        <v>32.056800000000187</v>
      </c>
      <c r="J176" s="4">
        <v>21.993199999999817</v>
      </c>
      <c r="K176" s="5">
        <v>1.6591165698682138</v>
      </c>
      <c r="L176" s="3">
        <v>0.35423408533389489</v>
      </c>
      <c r="M176" s="5">
        <v>8.0017695374223402E-2</v>
      </c>
      <c r="N176" s="3">
        <v>2.375311004784689</v>
      </c>
      <c r="O176" s="23" t="s">
        <v>55</v>
      </c>
    </row>
    <row r="177" spans="1:15" x14ac:dyDescent="0.25">
      <c r="A177" s="1" t="s">
        <v>21</v>
      </c>
      <c r="B177" s="2">
        <v>175</v>
      </c>
      <c r="C177" s="3">
        <v>359802.3</v>
      </c>
      <c r="D177" s="3">
        <v>6506807.71</v>
      </c>
      <c r="E177" s="3" t="s">
        <v>19</v>
      </c>
      <c r="F177" s="2" t="s">
        <v>20</v>
      </c>
      <c r="G177" s="3">
        <v>53.839200000000005</v>
      </c>
      <c r="H177" s="4">
        <v>46.29999999999999</v>
      </c>
      <c r="I177" s="4">
        <v>29.700799999999902</v>
      </c>
      <c r="J177" s="4">
        <v>23.999200000000116</v>
      </c>
      <c r="K177" s="5">
        <v>1.3086676751410116</v>
      </c>
      <c r="L177" s="3">
        <v>0.49295276437467861</v>
      </c>
      <c r="M177" s="5">
        <v>0.17941438585806579</v>
      </c>
      <c r="N177" s="3">
        <v>2.4523294637921511</v>
      </c>
      <c r="O177" s="23" t="s">
        <v>53</v>
      </c>
    </row>
    <row r="178" spans="1:15" x14ac:dyDescent="0.25">
      <c r="A178" s="1" t="s">
        <v>21</v>
      </c>
      <c r="B178" s="2">
        <v>176</v>
      </c>
      <c r="C178" s="3">
        <v>359589.3</v>
      </c>
      <c r="D178" s="3">
        <v>6506951.7199999997</v>
      </c>
      <c r="E178" s="3" t="s">
        <v>19</v>
      </c>
      <c r="F178" s="2" t="s">
        <v>20</v>
      </c>
      <c r="G178" s="3">
        <v>2.58</v>
      </c>
      <c r="H178" s="4">
        <v>57.1</v>
      </c>
      <c r="I178" s="4">
        <v>22.380800000000306</v>
      </c>
      <c r="J178" s="4">
        <v>20.519199999999699</v>
      </c>
      <c r="K178" s="5">
        <v>1.6146427704379558</v>
      </c>
      <c r="L178" s="3">
        <v>0.37011700635932743</v>
      </c>
      <c r="M178" s="5">
        <v>5.1542936550155363E-2</v>
      </c>
      <c r="N178" s="3">
        <v>2.4065295743504702</v>
      </c>
      <c r="O178" s="23" t="s">
        <v>52</v>
      </c>
    </row>
    <row r="179" spans="1:15" x14ac:dyDescent="0.25">
      <c r="A179" s="1" t="s">
        <v>21</v>
      </c>
      <c r="B179" s="2">
        <v>177</v>
      </c>
      <c r="C179" s="3">
        <v>359376.3</v>
      </c>
      <c r="D179" s="3">
        <v>6507095.7300000004</v>
      </c>
      <c r="E179" s="3" t="s">
        <v>19</v>
      </c>
      <c r="F179" s="2" t="s">
        <v>20</v>
      </c>
      <c r="G179" s="3">
        <v>53.22</v>
      </c>
      <c r="H179" s="4">
        <v>53.466666666666661</v>
      </c>
      <c r="I179" s="4">
        <v>27.542133333332913</v>
      </c>
      <c r="J179" s="4">
        <v>18.991200000000418</v>
      </c>
      <c r="K179" s="5">
        <v>1.5148379907765803</v>
      </c>
      <c r="L179" s="3">
        <v>0.3903472353526467</v>
      </c>
      <c r="M179" s="5">
        <v>6.9276594557181076E-2</v>
      </c>
      <c r="N179" s="3">
        <v>2.481474847982311</v>
      </c>
      <c r="O179" s="23" t="s">
        <v>57</v>
      </c>
    </row>
    <row r="180" spans="1:15" x14ac:dyDescent="0.25">
      <c r="A180" s="1" t="s">
        <v>21</v>
      </c>
      <c r="B180" s="2">
        <v>178</v>
      </c>
      <c r="C180" s="3">
        <v>359163.3</v>
      </c>
      <c r="D180" s="3">
        <v>6507239.75</v>
      </c>
      <c r="E180" s="3" t="s">
        <v>19</v>
      </c>
      <c r="F180" s="2" t="s">
        <v>20</v>
      </c>
      <c r="G180" s="3">
        <v>835.62</v>
      </c>
      <c r="H180" s="4">
        <v>59.149999999999991</v>
      </c>
      <c r="I180" s="4">
        <v>24.246799999999851</v>
      </c>
      <c r="J180" s="4">
        <v>16.603200000000157</v>
      </c>
      <c r="K180" s="5">
        <v>1.3690498571350953</v>
      </c>
      <c r="L180" s="3">
        <v>0.45242430916092202</v>
      </c>
      <c r="M180" s="5">
        <v>0.13466307641705522</v>
      </c>
      <c r="N180" s="3">
        <v>2.3024389165284691</v>
      </c>
      <c r="O180" s="23" t="s">
        <v>52</v>
      </c>
    </row>
    <row r="181" spans="1:15" x14ac:dyDescent="0.25">
      <c r="A181" s="1" t="s">
        <v>21</v>
      </c>
      <c r="B181" s="2">
        <v>179</v>
      </c>
      <c r="C181" s="3">
        <v>358950.29</v>
      </c>
      <c r="D181" s="3">
        <v>6507383.7599999998</v>
      </c>
      <c r="E181" s="3" t="s">
        <v>19</v>
      </c>
      <c r="F181" s="2" t="s">
        <v>20</v>
      </c>
      <c r="G181" s="3">
        <v>89.740800000000007</v>
      </c>
      <c r="H181" s="4">
        <v>60</v>
      </c>
      <c r="I181" s="4">
        <v>22.056799999999697</v>
      </c>
      <c r="J181" s="4">
        <v>17.943200000000303</v>
      </c>
      <c r="K181" s="5">
        <v>1.3918092949636347</v>
      </c>
      <c r="L181" s="3">
        <v>0.40823768350612766</v>
      </c>
      <c r="M181" s="5">
        <v>0.10280207639473293</v>
      </c>
      <c r="N181" s="3">
        <v>2.5647473742399116</v>
      </c>
      <c r="O181" s="23" t="s">
        <v>53</v>
      </c>
    </row>
    <row r="182" spans="1:15" x14ac:dyDescent="0.25">
      <c r="A182" s="1" t="s">
        <v>21</v>
      </c>
      <c r="B182" s="2">
        <v>180</v>
      </c>
      <c r="C182" s="3">
        <v>358737.29</v>
      </c>
      <c r="D182" s="3">
        <v>6507527.7699999996</v>
      </c>
      <c r="E182" s="3" t="s">
        <v>19</v>
      </c>
      <c r="F182" s="2" t="s">
        <v>20</v>
      </c>
      <c r="G182" s="3">
        <v>337.38960000000003</v>
      </c>
      <c r="H182" s="4">
        <v>64.100000000000023</v>
      </c>
      <c r="I182" s="4">
        <v>20.644800000000515</v>
      </c>
      <c r="J182" s="4">
        <v>15.25519999999946</v>
      </c>
      <c r="K182" s="5">
        <v>1.3566831217843838</v>
      </c>
      <c r="L182" s="3">
        <v>0.4671166460171029</v>
      </c>
      <c r="M182" s="5">
        <v>0.20689266553875277</v>
      </c>
      <c r="N182" s="3">
        <v>2.3149297954671093</v>
      </c>
      <c r="O182" s="23" t="s">
        <v>54</v>
      </c>
    </row>
    <row r="183" spans="1:15" x14ac:dyDescent="0.25">
      <c r="A183" s="1" t="s">
        <v>21</v>
      </c>
      <c r="B183" s="2">
        <v>181</v>
      </c>
      <c r="C183" s="3">
        <v>358524.29</v>
      </c>
      <c r="D183" s="3">
        <v>6507671.79</v>
      </c>
      <c r="E183" s="3" t="s">
        <v>19</v>
      </c>
      <c r="F183" s="2" t="s">
        <v>20</v>
      </c>
      <c r="G183" s="3">
        <v>283.73040000000003</v>
      </c>
      <c r="H183" s="4">
        <v>74.666666666666671</v>
      </c>
      <c r="I183" s="4">
        <v>18.790133333332889</v>
      </c>
      <c r="J183" s="4">
        <v>6.5432000000004367</v>
      </c>
      <c r="K183" s="5">
        <v>1.1551575893791288</v>
      </c>
      <c r="L183" s="3">
        <v>0.54665175567326418</v>
      </c>
      <c r="M183" s="5">
        <v>0.30921873899300434</v>
      </c>
      <c r="N183" s="3">
        <v>1.9110580431177453</v>
      </c>
      <c r="O183" s="23" t="s">
        <v>54</v>
      </c>
    </row>
    <row r="184" spans="1:15" x14ac:dyDescent="0.25">
      <c r="A184" s="1" t="s">
        <v>21</v>
      </c>
      <c r="B184" s="2">
        <v>182</v>
      </c>
      <c r="C184" s="3">
        <v>358311.29</v>
      </c>
      <c r="D184" s="3">
        <v>6507815.7999999998</v>
      </c>
      <c r="E184" s="3" t="s">
        <v>19</v>
      </c>
      <c r="F184" s="2" t="s">
        <v>20</v>
      </c>
      <c r="G184" s="3">
        <v>69.019199999999998</v>
      </c>
      <c r="H184" s="4">
        <v>67.733333333333334</v>
      </c>
      <c r="I184" s="4">
        <v>20.451466666667429</v>
      </c>
      <c r="J184" s="4">
        <v>11.815199999999235</v>
      </c>
      <c r="K184" s="5">
        <v>1.5865418318945552</v>
      </c>
      <c r="L184" s="3">
        <v>0.35709093075157561</v>
      </c>
      <c r="M184" s="5">
        <v>0.12566460630117277</v>
      </c>
      <c r="N184" s="3">
        <v>1.9568579325594253</v>
      </c>
      <c r="O184" s="23" t="s">
        <v>57</v>
      </c>
    </row>
    <row r="185" spans="1:15" x14ac:dyDescent="0.25">
      <c r="A185" s="1" t="s">
        <v>21</v>
      </c>
      <c r="B185" s="2">
        <v>183</v>
      </c>
      <c r="C185" s="3">
        <v>358098.29</v>
      </c>
      <c r="D185" s="3">
        <v>6507959.8099999996</v>
      </c>
      <c r="E185" s="3" t="s">
        <v>19</v>
      </c>
      <c r="F185" s="2" t="s">
        <v>20</v>
      </c>
      <c r="G185" s="3">
        <v>5.7311999999999994</v>
      </c>
      <c r="H185" s="4">
        <v>65.633333333333326</v>
      </c>
      <c r="I185" s="4">
        <v>22.391466666666958</v>
      </c>
      <c r="J185" s="4">
        <v>11.975199999999715</v>
      </c>
      <c r="K185" s="5">
        <v>1.6666062828270953</v>
      </c>
      <c r="L185" s="3">
        <v>0.35775476771672488</v>
      </c>
      <c r="M185" s="5">
        <v>0.10072407570921563</v>
      </c>
      <c r="N185" s="3">
        <v>1.9943305693753459</v>
      </c>
      <c r="O185" s="23" t="s">
        <v>52</v>
      </c>
    </row>
    <row r="186" spans="1:15" x14ac:dyDescent="0.25">
      <c r="A186" s="1" t="s">
        <v>21</v>
      </c>
      <c r="B186" s="2">
        <v>184</v>
      </c>
      <c r="C186" s="3">
        <v>357885.29</v>
      </c>
      <c r="D186" s="3">
        <v>6508103.8300000001</v>
      </c>
      <c r="E186" s="3" t="s">
        <v>19</v>
      </c>
      <c r="F186" s="2" t="s">
        <v>20</v>
      </c>
      <c r="G186" s="3">
        <v>4.5792000000000002</v>
      </c>
      <c r="H186" s="4">
        <v>35.699999999999989</v>
      </c>
      <c r="I186" s="4">
        <v>42.284800000000388</v>
      </c>
      <c r="J186" s="4">
        <v>22.015199999999624</v>
      </c>
      <c r="K186" s="5">
        <v>1.2924109338349119</v>
      </c>
      <c r="L186" s="3">
        <v>0.46205605932918359</v>
      </c>
      <c r="M186" s="5">
        <v>7.2649045257721243E-2</v>
      </c>
      <c r="N186" s="3">
        <v>2.4481658374792703</v>
      </c>
      <c r="O186" s="23" t="s">
        <v>52</v>
      </c>
    </row>
    <row r="187" spans="1:15" x14ac:dyDescent="0.25">
      <c r="A187" s="1" t="s">
        <v>21</v>
      </c>
      <c r="B187" s="2">
        <v>185</v>
      </c>
      <c r="C187" s="3">
        <v>357672.28</v>
      </c>
      <c r="D187" s="3">
        <v>6508247.8399999999</v>
      </c>
      <c r="E187" s="3" t="s">
        <v>19</v>
      </c>
      <c r="F187" s="2" t="s">
        <v>20</v>
      </c>
      <c r="G187" s="3">
        <v>45.06</v>
      </c>
      <c r="H187" s="4">
        <v>64.266666666666652</v>
      </c>
      <c r="I187" s="4">
        <v>17.367333333333306</v>
      </c>
      <c r="J187" s="4">
        <v>18.366000000000035</v>
      </c>
      <c r="K187" s="5">
        <v>1.5119930610480132</v>
      </c>
      <c r="L187" s="3">
        <v>0.4202499850112541</v>
      </c>
      <c r="M187" s="5">
        <v>0.11671340091022429</v>
      </c>
      <c r="N187" s="3">
        <v>2.2025118850193479</v>
      </c>
      <c r="O187" s="23" t="s">
        <v>52</v>
      </c>
    </row>
    <row r="188" spans="1:15" x14ac:dyDescent="0.25">
      <c r="A188" s="1" t="s">
        <v>21</v>
      </c>
      <c r="B188" s="2">
        <v>186</v>
      </c>
      <c r="C188" s="3">
        <v>357459.28</v>
      </c>
      <c r="D188" s="3">
        <v>6508391.8499999996</v>
      </c>
      <c r="E188" s="3" t="s">
        <v>19</v>
      </c>
      <c r="F188" s="2" t="s">
        <v>20</v>
      </c>
      <c r="G188" s="3">
        <v>115.4808</v>
      </c>
      <c r="H188" s="4">
        <v>58.300000000000011</v>
      </c>
      <c r="I188" s="4">
        <v>24.49279999999996</v>
      </c>
      <c r="J188" s="4">
        <v>17.207200000000029</v>
      </c>
      <c r="K188" s="5">
        <v>1.308029017446843</v>
      </c>
      <c r="L188" s="3">
        <v>0.49669546354695071</v>
      </c>
      <c r="M188" s="5">
        <v>0.13916327439351903</v>
      </c>
      <c r="N188" s="3">
        <v>2.3482388059701496</v>
      </c>
      <c r="O188" s="23" t="s">
        <v>52</v>
      </c>
    </row>
    <row r="189" spans="1:15" x14ac:dyDescent="0.25">
      <c r="A189" s="1" t="s">
        <v>21</v>
      </c>
      <c r="B189" s="2">
        <v>187</v>
      </c>
      <c r="C189" s="3">
        <v>357246.28</v>
      </c>
      <c r="D189" s="3">
        <v>6508535.8700000001</v>
      </c>
      <c r="E189" s="3" t="s">
        <v>19</v>
      </c>
      <c r="F189" s="2" t="s">
        <v>20</v>
      </c>
      <c r="G189" s="3">
        <v>57.849600000000002</v>
      </c>
      <c r="H189" s="4">
        <v>56.650000000000006</v>
      </c>
      <c r="I189" s="4">
        <v>24.802800000000531</v>
      </c>
      <c r="J189" s="4">
        <v>18.547199999999464</v>
      </c>
      <c r="K189" s="5">
        <v>1.4195038149743828</v>
      </c>
      <c r="L189" s="3">
        <v>0.43968711752735229</v>
      </c>
      <c r="M189" s="5">
        <v>0.13017037501729342</v>
      </c>
      <c r="N189" s="3">
        <v>2.4612177055103883</v>
      </c>
      <c r="O189" s="23" t="s">
        <v>54</v>
      </c>
    </row>
    <row r="190" spans="1:15" x14ac:dyDescent="0.25">
      <c r="A190" s="1" t="s">
        <v>21</v>
      </c>
      <c r="B190" s="2">
        <v>188</v>
      </c>
      <c r="C190" s="3">
        <v>357033.28</v>
      </c>
      <c r="D190" s="3">
        <v>6508679.8799999999</v>
      </c>
      <c r="E190" s="3" t="s">
        <v>19</v>
      </c>
      <c r="F190" s="2" t="s">
        <v>20</v>
      </c>
      <c r="G190" s="3">
        <v>198.77040000000002</v>
      </c>
      <c r="H190" s="4">
        <v>64.666666666666657</v>
      </c>
      <c r="I190" s="4">
        <v>17.614133333334223</v>
      </c>
      <c r="J190" s="4">
        <v>17.71919999999912</v>
      </c>
      <c r="K190" s="5">
        <v>1.5022970760547323</v>
      </c>
      <c r="L190" s="3">
        <v>0.41601761997409603</v>
      </c>
      <c r="M190" s="5">
        <v>0.16473484721410059</v>
      </c>
      <c r="N190" s="3">
        <v>2.4034977416440833</v>
      </c>
      <c r="O190" s="23" t="s">
        <v>57</v>
      </c>
    </row>
    <row r="191" spans="1:15" x14ac:dyDescent="0.25">
      <c r="A191" s="1" t="s">
        <v>21</v>
      </c>
      <c r="B191" s="2">
        <v>189</v>
      </c>
      <c r="C191" s="3">
        <v>356820.28</v>
      </c>
      <c r="D191" s="3">
        <v>6508823.8899999997</v>
      </c>
      <c r="E191" s="3" t="s">
        <v>19</v>
      </c>
      <c r="F191" s="2" t="s">
        <v>20</v>
      </c>
      <c r="G191" s="3">
        <v>8.94</v>
      </c>
      <c r="H191" s="4">
        <v>52.233333333333348</v>
      </c>
      <c r="I191" s="4">
        <v>25.167466666666684</v>
      </c>
      <c r="J191" s="4">
        <v>22.599199999999968</v>
      </c>
      <c r="K191" s="5">
        <v>1.6703801692017257</v>
      </c>
      <c r="L191" s="3">
        <v>0.35062097969288708</v>
      </c>
      <c r="M191" s="5">
        <v>1.7531962288983679E-2</v>
      </c>
      <c r="N191" s="3">
        <v>2.3540234869015362</v>
      </c>
      <c r="O191" s="23" t="s">
        <v>55</v>
      </c>
    </row>
    <row r="192" spans="1:15" x14ac:dyDescent="0.25">
      <c r="A192" s="1" t="s">
        <v>21</v>
      </c>
      <c r="B192" s="2">
        <v>190</v>
      </c>
      <c r="C192" s="3">
        <v>356607.27</v>
      </c>
      <c r="D192" s="3">
        <v>6508967.9100000001</v>
      </c>
      <c r="E192" s="3" t="s">
        <v>19</v>
      </c>
      <c r="F192" s="2" t="s">
        <v>20</v>
      </c>
      <c r="G192" s="3">
        <v>199.1112</v>
      </c>
      <c r="H192" s="4">
        <v>62.266666666666673</v>
      </c>
      <c r="I192" s="4">
        <v>19.558133333333842</v>
      </c>
      <c r="J192" s="4">
        <v>18.175199999999478</v>
      </c>
      <c r="K192" s="5">
        <v>1.4250775548507597</v>
      </c>
      <c r="L192" s="3">
        <v>0.43652648531739224</v>
      </c>
      <c r="M192" s="5">
        <v>0.13891199983501332</v>
      </c>
      <c r="N192" s="3">
        <v>2.5890261969286366</v>
      </c>
      <c r="O192" s="23" t="s">
        <v>55</v>
      </c>
    </row>
    <row r="193" spans="1:15" x14ac:dyDescent="0.25">
      <c r="A193" s="1" t="s">
        <v>21</v>
      </c>
      <c r="B193" s="2">
        <v>191</v>
      </c>
      <c r="C193" s="3">
        <v>356394.27</v>
      </c>
      <c r="D193" s="3">
        <v>6509111.9199999999</v>
      </c>
      <c r="E193" s="3" t="s">
        <v>19</v>
      </c>
      <c r="F193" s="2" t="s">
        <v>20</v>
      </c>
      <c r="G193" s="3">
        <v>374.3904</v>
      </c>
      <c r="H193" s="4">
        <v>60.5</v>
      </c>
      <c r="I193" s="4">
        <v>13.004799999999449</v>
      </c>
      <c r="J193" s="4">
        <v>26.495200000000551</v>
      </c>
      <c r="K193" s="5">
        <v>1.6304930932114028</v>
      </c>
      <c r="L193" s="3">
        <v>0.39051307089338638</v>
      </c>
      <c r="M193" s="5">
        <v>0.14085597226400068</v>
      </c>
      <c r="N193" s="3">
        <v>2.5024462511291783</v>
      </c>
      <c r="O193" s="23" t="s">
        <v>55</v>
      </c>
    </row>
    <row r="194" spans="1:15" x14ac:dyDescent="0.25">
      <c r="A194" s="1" t="s">
        <v>21</v>
      </c>
      <c r="B194" s="2">
        <v>192</v>
      </c>
      <c r="C194" s="3">
        <v>356181.27</v>
      </c>
      <c r="D194" s="3">
        <v>6509255.9299999997</v>
      </c>
      <c r="E194" s="3" t="s">
        <v>19</v>
      </c>
      <c r="F194" s="2" t="s">
        <v>20</v>
      </c>
      <c r="G194" s="3">
        <v>354</v>
      </c>
      <c r="H194" s="4">
        <v>67.133333333333326</v>
      </c>
      <c r="I194" s="4">
        <v>19.307466666666386</v>
      </c>
      <c r="J194" s="4">
        <v>13.559200000000287</v>
      </c>
      <c r="K194" s="5">
        <v>1.3458259409835245</v>
      </c>
      <c r="L194" s="3">
        <v>0.47945938243832642</v>
      </c>
      <c r="M194" s="5">
        <v>0.21186180858185225</v>
      </c>
      <c r="N194" s="3">
        <v>2.2056007226738936</v>
      </c>
      <c r="O194" s="23" t="s">
        <v>57</v>
      </c>
    </row>
    <row r="195" spans="1:15" x14ac:dyDescent="0.25">
      <c r="A195" s="1" t="s">
        <v>21</v>
      </c>
      <c r="B195" s="2">
        <v>193</v>
      </c>
      <c r="C195" s="3">
        <v>355968.27</v>
      </c>
      <c r="D195" s="3">
        <v>6509399.9500000002</v>
      </c>
      <c r="E195" s="3" t="s">
        <v>19</v>
      </c>
      <c r="F195" s="2" t="s">
        <v>20</v>
      </c>
      <c r="G195" s="3">
        <v>82.411200000000008</v>
      </c>
      <c r="H195" s="4">
        <v>61.199999999999996</v>
      </c>
      <c r="I195" s="4">
        <v>20.712800000000044</v>
      </c>
      <c r="J195" s="4">
        <v>18.087199999999967</v>
      </c>
      <c r="K195" s="5">
        <v>1.4891755634290949</v>
      </c>
      <c r="L195" s="3">
        <v>0.40411340176416544</v>
      </c>
      <c r="M195" s="5">
        <v>9.5757855061684577E-2</v>
      </c>
      <c r="N195" s="3">
        <v>2.465340560072268</v>
      </c>
      <c r="O195" s="23" t="s">
        <v>57</v>
      </c>
    </row>
    <row r="196" spans="1:15" x14ac:dyDescent="0.25">
      <c r="A196" s="1" t="s">
        <v>21</v>
      </c>
      <c r="B196" s="2">
        <v>194</v>
      </c>
      <c r="C196" s="3">
        <v>355755.27</v>
      </c>
      <c r="D196" s="3">
        <v>6509543.96</v>
      </c>
      <c r="E196" s="3" t="s">
        <v>19</v>
      </c>
      <c r="F196" s="2" t="s">
        <v>20</v>
      </c>
      <c r="G196" s="3">
        <v>956.69039999999995</v>
      </c>
      <c r="H196" s="4">
        <v>69.90000000000002</v>
      </c>
      <c r="I196" s="4">
        <v>15.908800000000596</v>
      </c>
      <c r="J196" s="4">
        <v>14.191199999999382</v>
      </c>
      <c r="K196" s="5">
        <v>1.4323350286481256</v>
      </c>
      <c r="L196" s="3">
        <v>0.44416204968483108</v>
      </c>
      <c r="M196" s="5">
        <v>0.22469604205248739</v>
      </c>
      <c r="N196" s="3">
        <v>2.0736693766937675</v>
      </c>
      <c r="O196" s="23" t="s">
        <v>52</v>
      </c>
    </row>
    <row r="197" spans="1:15" x14ac:dyDescent="0.25">
      <c r="A197" s="1" t="s">
        <v>21</v>
      </c>
      <c r="B197" s="2">
        <v>195</v>
      </c>
      <c r="C197" s="3">
        <v>355542.27</v>
      </c>
      <c r="D197" s="3">
        <v>6509687.9699999997</v>
      </c>
      <c r="E197" s="3" t="s">
        <v>19</v>
      </c>
      <c r="F197" s="2" t="s">
        <v>20</v>
      </c>
      <c r="G197" s="3">
        <v>163.8192</v>
      </c>
      <c r="H197" s="4">
        <v>72.499999999999986</v>
      </c>
      <c r="I197" s="4">
        <v>16.668800000000189</v>
      </c>
      <c r="J197" s="4">
        <v>10.831199999999823</v>
      </c>
      <c r="K197" s="5">
        <v>1.5296432373232072</v>
      </c>
      <c r="L197" s="3">
        <v>0.38959303487862568</v>
      </c>
      <c r="M197" s="5">
        <v>0.30778679023471789</v>
      </c>
      <c r="N197" s="3">
        <v>1.9829665763324302</v>
      </c>
      <c r="O197" s="23" t="s">
        <v>54</v>
      </c>
    </row>
    <row r="198" spans="1:15" x14ac:dyDescent="0.25">
      <c r="A198" s="1" t="s">
        <v>21</v>
      </c>
      <c r="B198" s="2">
        <v>196</v>
      </c>
      <c r="C198" s="3">
        <v>355329.26</v>
      </c>
      <c r="D198" s="3">
        <v>6509831.9900000002</v>
      </c>
      <c r="E198" s="3" t="s">
        <v>19</v>
      </c>
      <c r="F198" s="2" t="s">
        <v>20</v>
      </c>
      <c r="G198" s="3">
        <v>862.54079999999999</v>
      </c>
      <c r="H198" s="4">
        <v>67.533333333333331</v>
      </c>
      <c r="I198" s="4">
        <v>15.139466666667488</v>
      </c>
      <c r="J198" s="4">
        <v>17.327199999999181</v>
      </c>
      <c r="K198" s="5">
        <v>1.215888130115486</v>
      </c>
      <c r="L198" s="3">
        <v>0.5298922326397939</v>
      </c>
      <c r="M198" s="5">
        <v>0.25532748393784865</v>
      </c>
      <c r="N198" s="3">
        <v>2.1313893405600726</v>
      </c>
      <c r="O198" s="23" t="s">
        <v>53</v>
      </c>
    </row>
    <row r="199" spans="1:15" x14ac:dyDescent="0.25">
      <c r="A199" s="1" t="s">
        <v>21</v>
      </c>
      <c r="B199" s="2">
        <v>197</v>
      </c>
      <c r="C199" s="3">
        <v>355116.26</v>
      </c>
      <c r="D199" s="3">
        <v>6509976</v>
      </c>
      <c r="E199" s="3" t="s">
        <v>19</v>
      </c>
      <c r="F199" s="2" t="s">
        <v>20</v>
      </c>
      <c r="G199" s="3">
        <v>164.97119999999998</v>
      </c>
      <c r="H199" s="4">
        <v>63.266666666666673</v>
      </c>
      <c r="I199" s="4">
        <v>16.198133333333374</v>
      </c>
      <c r="J199" s="4">
        <v>20.535199999999946</v>
      </c>
      <c r="K199" s="5">
        <v>1.2967073583229527</v>
      </c>
      <c r="L199" s="3">
        <v>0.44926981760065376</v>
      </c>
      <c r="M199" s="5">
        <v>0.21087631830478012</v>
      </c>
      <c r="N199" s="3">
        <v>2.2565925925925927</v>
      </c>
      <c r="O199" s="23" t="s">
        <v>53</v>
      </c>
    </row>
    <row r="200" spans="1:15" x14ac:dyDescent="0.25">
      <c r="A200" s="1" t="s">
        <v>21</v>
      </c>
      <c r="B200" s="2">
        <v>198</v>
      </c>
      <c r="C200" s="3">
        <v>354903.26</v>
      </c>
      <c r="D200" s="3">
        <v>6510120.0099999998</v>
      </c>
      <c r="E200" s="3" t="s">
        <v>19</v>
      </c>
      <c r="F200" s="2" t="s">
        <v>20</v>
      </c>
      <c r="G200" s="3">
        <v>252.48960000000002</v>
      </c>
      <c r="H200" s="4">
        <v>69.399999999999991</v>
      </c>
      <c r="I200" s="4">
        <v>14.216800000000049</v>
      </c>
      <c r="J200" s="4">
        <v>16.38319999999996</v>
      </c>
      <c r="K200" s="5">
        <v>1.5455516198870329</v>
      </c>
      <c r="L200" s="3">
        <v>0.41358824322677656</v>
      </c>
      <c r="M200" s="5">
        <v>0.17693653764227041</v>
      </c>
      <c r="N200" s="3">
        <v>2.2880578139114727</v>
      </c>
      <c r="O200" s="23" t="s">
        <v>57</v>
      </c>
    </row>
    <row r="201" spans="1:15" x14ac:dyDescent="0.25">
      <c r="A201" s="1" t="s">
        <v>21</v>
      </c>
      <c r="B201" s="2">
        <v>199</v>
      </c>
      <c r="C201" s="3">
        <v>354690.26</v>
      </c>
      <c r="D201" s="3">
        <v>6510264.0199999996</v>
      </c>
      <c r="E201" s="3" t="s">
        <v>19</v>
      </c>
      <c r="F201" s="2" t="s">
        <v>20</v>
      </c>
      <c r="G201" s="3">
        <v>657.12959999999998</v>
      </c>
      <c r="H201" s="4">
        <v>66.100000000000009</v>
      </c>
      <c r="I201" s="4">
        <v>16.948800000000219</v>
      </c>
      <c r="J201" s="4">
        <v>16.951199999999773</v>
      </c>
      <c r="K201" s="5">
        <v>1.5281336827733549</v>
      </c>
      <c r="L201" s="3">
        <v>0.42539617781085926</v>
      </c>
      <c r="M201" s="5">
        <v>0.1718490732260857</v>
      </c>
      <c r="N201" s="3">
        <v>2.5065691056910571</v>
      </c>
      <c r="O201" s="23" t="s">
        <v>56</v>
      </c>
    </row>
    <row r="202" spans="1:15" x14ac:dyDescent="0.25">
      <c r="A202" s="1" t="s">
        <v>21</v>
      </c>
      <c r="B202" s="2">
        <v>200</v>
      </c>
      <c r="C202" s="3">
        <v>354477.26</v>
      </c>
      <c r="D202" s="3">
        <v>6510408.04</v>
      </c>
      <c r="E202" s="3" t="s">
        <v>19</v>
      </c>
      <c r="F202" s="2" t="s">
        <v>20</v>
      </c>
      <c r="G202" s="3">
        <v>459.00960000000003</v>
      </c>
      <c r="H202" s="4">
        <v>60.900000000000006</v>
      </c>
      <c r="I202" s="4">
        <v>11.676799999999901</v>
      </c>
      <c r="J202" s="4">
        <v>27.423200000000094</v>
      </c>
      <c r="K202" s="5">
        <v>1.4333801048749462</v>
      </c>
      <c r="L202" s="3">
        <v>0.45848839349701109</v>
      </c>
      <c r="M202" s="5">
        <v>0.22276564455856807</v>
      </c>
      <c r="N202" s="3">
        <v>2.6096404697380309</v>
      </c>
      <c r="O202" s="23" t="s">
        <v>57</v>
      </c>
    </row>
    <row r="203" spans="1:15" x14ac:dyDescent="0.25">
      <c r="A203" s="1" t="s">
        <v>21</v>
      </c>
      <c r="B203" s="2">
        <v>201</v>
      </c>
      <c r="C203" s="3">
        <v>354264.25</v>
      </c>
      <c r="D203" s="3">
        <v>6510552.0499999998</v>
      </c>
      <c r="E203" s="3" t="s">
        <v>19</v>
      </c>
      <c r="F203" s="2" t="s">
        <v>20</v>
      </c>
      <c r="G203" s="3">
        <v>293.58</v>
      </c>
      <c r="H203" s="4">
        <v>62.666666666666664</v>
      </c>
      <c r="I203" s="4">
        <v>18.214133333333507</v>
      </c>
      <c r="J203" s="4">
        <v>19.119199999999836</v>
      </c>
      <c r="K203" s="5">
        <v>1.4445275846277004</v>
      </c>
      <c r="L203" s="3">
        <v>0.44463612234509631</v>
      </c>
      <c r="M203" s="5">
        <v>0.20589426430694913</v>
      </c>
      <c r="N203" s="3">
        <v>2.4818319783197835</v>
      </c>
      <c r="O203" s="23" t="s">
        <v>55</v>
      </c>
    </row>
    <row r="204" spans="1:15" x14ac:dyDescent="0.25">
      <c r="A204" s="1" t="s">
        <v>21</v>
      </c>
      <c r="B204" s="2">
        <v>202</v>
      </c>
      <c r="C204" s="3">
        <v>354051.25</v>
      </c>
      <c r="D204" s="3">
        <v>6510696.0599999996</v>
      </c>
      <c r="E204" s="3" t="s">
        <v>19</v>
      </c>
      <c r="F204" s="2" t="s">
        <v>20</v>
      </c>
      <c r="G204" s="3">
        <v>645.55920000000003</v>
      </c>
      <c r="H204" s="4">
        <v>55.566666666666663</v>
      </c>
      <c r="I204" s="4">
        <v>20.234133333333119</v>
      </c>
      <c r="J204" s="4">
        <v>24.199200000000218</v>
      </c>
      <c r="K204" s="5">
        <v>1.0785767258693242</v>
      </c>
      <c r="L204" s="3">
        <v>0.5825908708405878</v>
      </c>
      <c r="M204" s="5">
        <v>0.28038966191827347</v>
      </c>
      <c r="N204" s="3">
        <v>3.0672773261065949</v>
      </c>
      <c r="O204" s="23" t="s">
        <v>53</v>
      </c>
    </row>
    <row r="205" spans="1:15" x14ac:dyDescent="0.25">
      <c r="A205" s="1" t="s">
        <v>21</v>
      </c>
      <c r="B205" s="2">
        <v>203</v>
      </c>
      <c r="C205" s="3">
        <v>353838.25</v>
      </c>
      <c r="D205" s="3">
        <v>6510840.0800000001</v>
      </c>
      <c r="E205" s="3" t="s">
        <v>19</v>
      </c>
      <c r="F205" s="2" t="s">
        <v>20</v>
      </c>
      <c r="G205" s="3">
        <v>347.31120000000004</v>
      </c>
      <c r="H205" s="4">
        <v>69.833333333333329</v>
      </c>
      <c r="I205" s="4">
        <v>14.671466666666348</v>
      </c>
      <c r="J205" s="4">
        <v>15.495200000000324</v>
      </c>
      <c r="K205" s="5">
        <v>1.4958524393226718</v>
      </c>
      <c r="L205" s="3">
        <v>0.43091569347864711</v>
      </c>
      <c r="M205" s="5">
        <v>0.20413415225855933</v>
      </c>
      <c r="N205" s="3">
        <v>2.2819181286549712</v>
      </c>
      <c r="O205" s="23" t="s">
        <v>57</v>
      </c>
    </row>
    <row r="206" spans="1:15" x14ac:dyDescent="0.25">
      <c r="A206" s="1" t="s">
        <v>21</v>
      </c>
      <c r="B206" s="2">
        <v>204</v>
      </c>
      <c r="C206" s="3">
        <v>353625.25</v>
      </c>
      <c r="D206" s="3">
        <v>6510984.0899999999</v>
      </c>
      <c r="E206" s="3" t="s">
        <v>19</v>
      </c>
      <c r="F206" s="2" t="s">
        <v>20</v>
      </c>
      <c r="G206" s="3">
        <v>345.97919999999999</v>
      </c>
      <c r="H206" s="4">
        <v>91.566666666666663</v>
      </c>
      <c r="I206" s="4">
        <v>1.4901333333332616</v>
      </c>
      <c r="J206" s="4">
        <v>6.9432000000000729</v>
      </c>
      <c r="K206" s="5">
        <v>1.3927963114000765</v>
      </c>
      <c r="L206" s="3">
        <v>0.47482579535961078</v>
      </c>
      <c r="M206" s="5">
        <v>0.31614838825400376</v>
      </c>
      <c r="N206" s="3">
        <v>1.9953351400180674</v>
      </c>
      <c r="O206" s="23" t="s">
        <v>53</v>
      </c>
    </row>
    <row r="207" spans="1:15" x14ac:dyDescent="0.25">
      <c r="A207" s="1" t="s">
        <v>21</v>
      </c>
      <c r="B207" s="2">
        <v>205</v>
      </c>
      <c r="C207" s="3">
        <v>353412.25</v>
      </c>
      <c r="D207" s="3">
        <v>6511128.0999999996</v>
      </c>
      <c r="E207" s="3" t="s">
        <v>19</v>
      </c>
      <c r="F207" s="2" t="s">
        <v>20</v>
      </c>
      <c r="G207" s="3">
        <v>6.8712</v>
      </c>
      <c r="H207" s="4">
        <v>63.933333333333344</v>
      </c>
      <c r="I207" s="4">
        <v>18.83546666666669</v>
      </c>
      <c r="J207" s="4">
        <v>17.231199999999973</v>
      </c>
      <c r="K207" s="5">
        <v>1.4394183230743547</v>
      </c>
      <c r="L207" s="3">
        <v>0.44951800317439011</v>
      </c>
      <c r="M207" s="5">
        <v>6.0865766377853563E-2</v>
      </c>
      <c r="N207" s="3">
        <v>2.2976215306980663</v>
      </c>
      <c r="O207" s="23" t="s">
        <v>52</v>
      </c>
    </row>
    <row r="208" spans="1:15" x14ac:dyDescent="0.25">
      <c r="A208" s="1" t="s">
        <v>21</v>
      </c>
      <c r="B208" s="2">
        <v>206</v>
      </c>
      <c r="C208" s="3">
        <v>353199.25</v>
      </c>
      <c r="D208" s="3">
        <v>6511272.1200000001</v>
      </c>
      <c r="E208" s="3" t="s">
        <v>19</v>
      </c>
      <c r="F208" s="2" t="s">
        <v>20</v>
      </c>
      <c r="G208" s="3">
        <v>4.2</v>
      </c>
      <c r="H208" s="4">
        <v>46.466666666666661</v>
      </c>
      <c r="I208" s="4">
        <v>29.302133333333188</v>
      </c>
      <c r="J208" s="4">
        <v>24.231200000000143</v>
      </c>
      <c r="K208" s="5">
        <v>1.4903367592366736</v>
      </c>
      <c r="L208" s="3">
        <v>0.43102087135861405</v>
      </c>
      <c r="M208" s="5">
        <v>2.344114289854737E-2</v>
      </c>
      <c r="N208" s="3">
        <v>2.7217493692178301</v>
      </c>
      <c r="O208" s="23" t="s">
        <v>55</v>
      </c>
    </row>
    <row r="209" spans="1:15" x14ac:dyDescent="0.25">
      <c r="A209" s="1" t="s">
        <v>21</v>
      </c>
      <c r="B209" s="2">
        <v>207</v>
      </c>
      <c r="C209" s="3">
        <v>352986.24</v>
      </c>
      <c r="D209" s="3">
        <v>6511416.1299999999</v>
      </c>
      <c r="E209" s="3" t="s">
        <v>19</v>
      </c>
      <c r="F209" s="2" t="s">
        <v>20</v>
      </c>
      <c r="G209" s="3">
        <v>197.0496</v>
      </c>
      <c r="H209" s="4">
        <v>70.666666666666671</v>
      </c>
      <c r="I209" s="4">
        <v>14.366133333333764</v>
      </c>
      <c r="J209" s="4">
        <v>14.967199999999565</v>
      </c>
      <c r="K209" s="5">
        <v>1.6332219033592126</v>
      </c>
      <c r="L209" s="3">
        <v>0.36785547526932272</v>
      </c>
      <c r="M209" s="5">
        <v>0.14316408650287582</v>
      </c>
      <c r="N209" s="3">
        <v>2.2193843566021871</v>
      </c>
      <c r="O209" s="23" t="s">
        <v>55</v>
      </c>
    </row>
    <row r="210" spans="1:15" x14ac:dyDescent="0.25">
      <c r="A210" s="1" t="s">
        <v>21</v>
      </c>
      <c r="B210" s="2">
        <v>208</v>
      </c>
      <c r="C210" s="3">
        <v>352773.24</v>
      </c>
      <c r="D210" s="3">
        <v>6511560.1399999997</v>
      </c>
      <c r="E210" s="3" t="s">
        <v>19</v>
      </c>
      <c r="F210" s="2" t="s">
        <v>20</v>
      </c>
      <c r="G210" s="3">
        <v>36.8904</v>
      </c>
      <c r="H210" s="4">
        <v>58.9</v>
      </c>
      <c r="I210" s="4">
        <v>19.988799999999969</v>
      </c>
      <c r="J210" s="4">
        <v>21.111200000000025</v>
      </c>
      <c r="K210" s="5">
        <v>1.3520383385540695</v>
      </c>
      <c r="L210" s="3">
        <v>0.47570261422544591</v>
      </c>
      <c r="M210" s="5">
        <v>0.14284583598305814</v>
      </c>
      <c r="N210" s="3">
        <v>2.4911555929352405</v>
      </c>
      <c r="O210" s="23" t="s">
        <v>53</v>
      </c>
    </row>
    <row r="211" spans="1:15" x14ac:dyDescent="0.25">
      <c r="A211" s="1" t="s">
        <v>21</v>
      </c>
      <c r="B211" s="2">
        <v>209</v>
      </c>
      <c r="C211" s="3">
        <v>352560.24</v>
      </c>
      <c r="D211" s="3">
        <v>6511704.1600000001</v>
      </c>
      <c r="E211" s="3" t="s">
        <v>19</v>
      </c>
      <c r="F211" s="2" t="s">
        <v>20</v>
      </c>
      <c r="G211" s="3">
        <v>949.72079999999994</v>
      </c>
      <c r="H211" s="4">
        <v>72.366666666666674</v>
      </c>
      <c r="I211" s="4">
        <v>13.546133333332847</v>
      </c>
      <c r="J211" s="4">
        <v>14.087200000000477</v>
      </c>
      <c r="K211" s="5">
        <v>1.2803344974360948</v>
      </c>
      <c r="L211" s="3">
        <v>0.50175740989845563</v>
      </c>
      <c r="M211" s="5">
        <v>0.27962065190868141</v>
      </c>
      <c r="N211" s="3">
        <v>2.2646795626576957</v>
      </c>
      <c r="O211" s="23" t="s">
        <v>52</v>
      </c>
    </row>
    <row r="212" spans="1:15" x14ac:dyDescent="0.25">
      <c r="A212" s="1" t="s">
        <v>21</v>
      </c>
      <c r="B212" s="2">
        <v>210</v>
      </c>
      <c r="C212" s="3">
        <v>352347.24</v>
      </c>
      <c r="D212" s="3">
        <v>6511848.1699999999</v>
      </c>
      <c r="E212" s="3" t="s">
        <v>19</v>
      </c>
      <c r="F212" s="2" t="s">
        <v>20</v>
      </c>
      <c r="G212" s="3">
        <v>263.49119999999999</v>
      </c>
      <c r="H212" s="4">
        <v>58.20000000000001</v>
      </c>
      <c r="I212" s="4">
        <v>17.852799999999888</v>
      </c>
      <c r="J212" s="4">
        <v>23.947200000000095</v>
      </c>
      <c r="K212" s="5">
        <v>1.608314253286653</v>
      </c>
      <c r="L212" s="3">
        <v>0.37646582451855809</v>
      </c>
      <c r="M212" s="5">
        <v>0.12402185595098399</v>
      </c>
      <c r="N212" s="3">
        <v>2.2893860386879732</v>
      </c>
      <c r="O212" s="23" t="s">
        <v>52</v>
      </c>
    </row>
    <row r="213" spans="1:15" x14ac:dyDescent="0.25">
      <c r="A213" s="1" t="s">
        <v>21</v>
      </c>
      <c r="B213" s="2">
        <v>211</v>
      </c>
      <c r="C213" s="3">
        <v>352134.24</v>
      </c>
      <c r="D213" s="3">
        <v>6511992.1799999997</v>
      </c>
      <c r="E213" s="3" t="s">
        <v>19</v>
      </c>
      <c r="F213" s="2" t="s">
        <v>20</v>
      </c>
      <c r="G213" s="3">
        <v>96.691199999999995</v>
      </c>
      <c r="H213" s="4">
        <v>68.800000000000011</v>
      </c>
      <c r="I213" s="4">
        <v>14.768799999999857</v>
      </c>
      <c r="J213" s="4">
        <v>16.431200000000132</v>
      </c>
      <c r="K213" s="5">
        <v>1.4993940865357862</v>
      </c>
      <c r="L213" s="3">
        <v>0.41310961451998662</v>
      </c>
      <c r="M213" s="5">
        <v>9.5580620937635349E-2</v>
      </c>
      <c r="N213" s="3">
        <v>2.075263246425568</v>
      </c>
      <c r="O213" s="23" t="s">
        <v>52</v>
      </c>
    </row>
    <row r="214" spans="1:15" x14ac:dyDescent="0.25">
      <c r="A214" s="1" t="s">
        <v>21</v>
      </c>
      <c r="B214" s="2">
        <v>212</v>
      </c>
      <c r="C214" s="3">
        <v>351921.23</v>
      </c>
      <c r="D214" s="3">
        <v>6512136.2000000002</v>
      </c>
      <c r="E214" s="3" t="s">
        <v>19</v>
      </c>
      <c r="F214" s="2" t="s">
        <v>20</v>
      </c>
      <c r="G214" s="3">
        <v>420.82080000000002</v>
      </c>
      <c r="H214" s="4">
        <v>56.29999999999999</v>
      </c>
      <c r="I214" s="4">
        <v>28.068800000000294</v>
      </c>
      <c r="J214" s="4">
        <v>15.631199999999723</v>
      </c>
      <c r="K214" s="5">
        <v>1.3321238304540979</v>
      </c>
      <c r="L214" s="3">
        <v>0.48250651196834937</v>
      </c>
      <c r="M214" s="5">
        <v>0.1736284271524586</v>
      </c>
      <c r="N214" s="3">
        <v>2.7093961312026917</v>
      </c>
      <c r="O214" s="23" t="s">
        <v>53</v>
      </c>
    </row>
    <row r="215" spans="1:15" x14ac:dyDescent="0.25">
      <c r="A215" s="1" t="s">
        <v>21</v>
      </c>
      <c r="B215" s="2">
        <v>213</v>
      </c>
      <c r="C215" s="3">
        <v>351708.23</v>
      </c>
      <c r="D215" s="3">
        <v>6512280.21</v>
      </c>
      <c r="E215" s="3" t="s">
        <v>19</v>
      </c>
      <c r="F215" s="2" t="s">
        <v>20</v>
      </c>
      <c r="G215" s="3">
        <v>98.750399999999999</v>
      </c>
      <c r="H215" s="4">
        <v>53.833333333333336</v>
      </c>
      <c r="I215" s="4">
        <v>24.799466666666376</v>
      </c>
      <c r="J215" s="4">
        <v>21.367200000000281</v>
      </c>
      <c r="K215" s="5">
        <v>1.6350217568609593</v>
      </c>
      <c r="L215" s="3">
        <v>0.376884406333023</v>
      </c>
      <c r="M215" s="5">
        <v>0.12444043776544909</v>
      </c>
      <c r="N215" s="3">
        <v>2.3140925147182507</v>
      </c>
      <c r="O215" s="23" t="s">
        <v>53</v>
      </c>
    </row>
    <row r="216" spans="1:15" x14ac:dyDescent="0.25">
      <c r="A216" s="1" t="s">
        <v>21</v>
      </c>
      <c r="B216" s="2">
        <v>214</v>
      </c>
      <c r="C216" s="3">
        <v>351495.23</v>
      </c>
      <c r="D216" s="3">
        <v>6512424.2199999997</v>
      </c>
      <c r="E216" s="3" t="s">
        <v>19</v>
      </c>
      <c r="F216" s="2" t="s">
        <v>20</v>
      </c>
      <c r="G216" s="3">
        <v>45.820800000000006</v>
      </c>
      <c r="H216" s="4">
        <v>47.166666666666686</v>
      </c>
      <c r="I216" s="4">
        <v>28.13013333333285</v>
      </c>
      <c r="J216" s="4">
        <v>24.703200000000464</v>
      </c>
      <c r="K216" s="5">
        <v>1.2006184052458286</v>
      </c>
      <c r="L216" s="3">
        <v>0.54326062978271472</v>
      </c>
      <c r="M216" s="5">
        <v>0.11640505091684439</v>
      </c>
      <c r="N216" s="3">
        <v>2.511744322960471</v>
      </c>
      <c r="O216" s="23" t="s">
        <v>53</v>
      </c>
    </row>
    <row r="217" spans="1:15" x14ac:dyDescent="0.25">
      <c r="A217" s="1" t="s">
        <v>21</v>
      </c>
      <c r="B217" s="2">
        <v>215</v>
      </c>
      <c r="C217" s="3">
        <v>351282.23</v>
      </c>
      <c r="D217" s="3">
        <v>6512568.2400000002</v>
      </c>
      <c r="E217" s="3" t="s">
        <v>19</v>
      </c>
      <c r="F217" s="2" t="s">
        <v>20</v>
      </c>
      <c r="G217" s="3">
        <v>405.21119999999996</v>
      </c>
      <c r="H217" s="4">
        <v>80.399999999999991</v>
      </c>
      <c r="I217" s="4">
        <v>10.312799999999996</v>
      </c>
      <c r="J217" s="4">
        <v>9.2872000000000092</v>
      </c>
      <c r="K217" s="5">
        <v>1.0634811803708033</v>
      </c>
      <c r="L217" s="3">
        <v>0.57213972912332245</v>
      </c>
      <c r="M217" s="5">
        <v>0.20880156093199836</v>
      </c>
      <c r="N217" s="3">
        <v>2.3099747687132051</v>
      </c>
      <c r="O217" s="23" t="s">
        <v>53</v>
      </c>
    </row>
    <row r="218" spans="1:15" x14ac:dyDescent="0.25">
      <c r="A218" s="1" t="s">
        <v>21</v>
      </c>
      <c r="B218" s="2">
        <v>216</v>
      </c>
      <c r="C218" s="3">
        <v>351069.23</v>
      </c>
      <c r="D218" s="3">
        <v>6512712.25</v>
      </c>
      <c r="E218" s="3" t="s">
        <v>19</v>
      </c>
      <c r="F218" s="2" t="s">
        <v>20</v>
      </c>
      <c r="G218" s="3">
        <v>313.9008</v>
      </c>
      <c r="H218" s="4">
        <v>63.366666666666674</v>
      </c>
      <c r="I218" s="4">
        <v>20.27413333333331</v>
      </c>
      <c r="J218" s="4">
        <v>16.359200000000016</v>
      </c>
      <c r="K218" s="5">
        <v>1.4153866838868552</v>
      </c>
      <c r="L218" s="3">
        <v>0.44923122860269338</v>
      </c>
      <c r="M218" s="5">
        <v>0.2202257861182533</v>
      </c>
      <c r="N218" s="3">
        <v>2.6146879730866277</v>
      </c>
      <c r="O218" s="23" t="s">
        <v>52</v>
      </c>
    </row>
    <row r="219" spans="1:15" x14ac:dyDescent="0.25">
      <c r="A219" s="1" t="s">
        <v>21</v>
      </c>
      <c r="B219" s="2">
        <v>217</v>
      </c>
      <c r="C219" s="3">
        <v>350856.23</v>
      </c>
      <c r="D219" s="3">
        <v>6512856.2599999998</v>
      </c>
      <c r="E219" s="3" t="s">
        <v>19</v>
      </c>
      <c r="F219" s="2" t="s">
        <v>20</v>
      </c>
      <c r="G219" s="3">
        <v>649.56960000000004</v>
      </c>
      <c r="H219" s="4">
        <v>72.566666666666677</v>
      </c>
      <c r="I219" s="4">
        <v>15.730133333333541</v>
      </c>
      <c r="J219" s="4">
        <v>11.70319999999978</v>
      </c>
      <c r="K219" s="5">
        <v>1.5647694105024579</v>
      </c>
      <c r="L219" s="3">
        <v>0.43036777309049479</v>
      </c>
      <c r="M219" s="5">
        <v>0.23964136169572009</v>
      </c>
      <c r="N219" s="3">
        <v>1.9558486122792265</v>
      </c>
      <c r="O219" s="23" t="s">
        <v>53</v>
      </c>
    </row>
    <row r="220" spans="1:15" x14ac:dyDescent="0.25">
      <c r="A220" s="1" t="s">
        <v>21</v>
      </c>
      <c r="B220" s="2">
        <v>218</v>
      </c>
      <c r="C220" s="3">
        <v>350643.22</v>
      </c>
      <c r="D220" s="3">
        <v>6513000.2800000003</v>
      </c>
      <c r="E220" s="3" t="s">
        <v>19</v>
      </c>
      <c r="F220" s="2" t="s">
        <v>20</v>
      </c>
      <c r="G220" s="3">
        <v>520.87919999999997</v>
      </c>
      <c r="H220" s="4">
        <v>72.133333333333326</v>
      </c>
      <c r="I220" s="4">
        <v>17.075466666666756</v>
      </c>
      <c r="J220" s="4">
        <v>10.791199999999916</v>
      </c>
      <c r="K220" s="5">
        <v>1.4520753573769607</v>
      </c>
      <c r="L220" s="3">
        <v>0.44661632356474906</v>
      </c>
      <c r="M220" s="5">
        <v>0.24538109011138842</v>
      </c>
      <c r="N220" s="3">
        <v>2.0587922624053827</v>
      </c>
      <c r="O220" s="23" t="s">
        <v>57</v>
      </c>
    </row>
    <row r="221" spans="1:15" x14ac:dyDescent="0.25">
      <c r="A221" s="1" t="s">
        <v>21</v>
      </c>
      <c r="B221" s="2">
        <v>219</v>
      </c>
      <c r="C221" s="3">
        <v>350430.22</v>
      </c>
      <c r="D221" s="3">
        <v>6513144.29</v>
      </c>
      <c r="E221" s="3" t="s">
        <v>19</v>
      </c>
      <c r="F221" s="2" t="s">
        <v>20</v>
      </c>
      <c r="G221" s="3">
        <v>54.991199999999999</v>
      </c>
      <c r="H221" s="4">
        <v>67.533333333333317</v>
      </c>
      <c r="I221" s="4">
        <v>19.803466666666296</v>
      </c>
      <c r="J221" s="4">
        <v>12.663200000000385</v>
      </c>
      <c r="K221" s="5">
        <v>1.5732461398977811</v>
      </c>
      <c r="L221" s="3">
        <v>0.39624450932355038</v>
      </c>
      <c r="M221" s="5">
        <v>8.9688816122816484E-2</v>
      </c>
      <c r="N221" s="3">
        <v>2.3332374839537868</v>
      </c>
      <c r="O221" s="23" t="s">
        <v>55</v>
      </c>
    </row>
    <row r="222" spans="1:15" x14ac:dyDescent="0.25">
      <c r="A222" s="1" t="s">
        <v>21</v>
      </c>
      <c r="B222" s="2">
        <v>220</v>
      </c>
      <c r="C222" s="3">
        <v>350217.22</v>
      </c>
      <c r="D222" s="3">
        <v>6513288.2999999998</v>
      </c>
      <c r="E222" s="3" t="s">
        <v>19</v>
      </c>
      <c r="F222" s="2" t="s">
        <v>20</v>
      </c>
      <c r="G222" s="3">
        <v>130.60079999999999</v>
      </c>
      <c r="H222" s="4">
        <v>58.766666666666673</v>
      </c>
      <c r="I222" s="4">
        <v>23.490133333333688</v>
      </c>
      <c r="J222" s="4">
        <v>17.743199999999632</v>
      </c>
      <c r="K222" s="5">
        <v>1.5129800774844551</v>
      </c>
      <c r="L222" s="3">
        <v>0.42754223396219737</v>
      </c>
      <c r="M222" s="5">
        <v>0.10798114771658422</v>
      </c>
      <c r="N222" s="3">
        <v>2.3319148514851489</v>
      </c>
      <c r="O222" s="23" t="s">
        <v>57</v>
      </c>
    </row>
    <row r="223" spans="1:15" x14ac:dyDescent="0.25">
      <c r="A223" s="1" t="s">
        <v>21</v>
      </c>
      <c r="B223" s="2">
        <v>221</v>
      </c>
      <c r="C223" s="3">
        <v>350004.22</v>
      </c>
      <c r="D223" s="3">
        <v>6513432.3200000003</v>
      </c>
      <c r="E223" s="3" t="s">
        <v>19</v>
      </c>
      <c r="F223" s="2" t="s">
        <v>20</v>
      </c>
      <c r="G223" s="3">
        <v>379.08960000000002</v>
      </c>
      <c r="H223" s="4">
        <v>67.166666666666671</v>
      </c>
      <c r="I223" s="4">
        <v>18.282133333334215</v>
      </c>
      <c r="J223" s="4">
        <v>14.551199999999112</v>
      </c>
      <c r="K223" s="5">
        <v>1.5975151322761727</v>
      </c>
      <c r="L223" s="3">
        <v>0.42479621502735199</v>
      </c>
      <c r="M223" s="5">
        <v>0.1909313793810346</v>
      </c>
      <c r="N223" s="3">
        <v>2.0393702970297034</v>
      </c>
      <c r="O223" s="23" t="s">
        <v>52</v>
      </c>
    </row>
    <row r="224" spans="1:15" x14ac:dyDescent="0.25">
      <c r="A224" s="1" t="s">
        <v>21</v>
      </c>
      <c r="B224" s="2">
        <v>222</v>
      </c>
      <c r="C224" s="3">
        <v>349791.22</v>
      </c>
      <c r="D224" s="3">
        <v>6513576.3300000001</v>
      </c>
      <c r="E224" s="3" t="s">
        <v>19</v>
      </c>
      <c r="F224" s="2" t="s">
        <v>20</v>
      </c>
      <c r="G224" s="3">
        <v>1024.7592</v>
      </c>
      <c r="H224" s="4">
        <v>57.966666666666661</v>
      </c>
      <c r="I224" s="4">
        <v>18.498133333333271</v>
      </c>
      <c r="J224" s="4">
        <v>23.53520000000006</v>
      </c>
      <c r="K224" s="5">
        <v>1.1185218616500259</v>
      </c>
      <c r="L224" s="3">
        <v>0.56143306497798584</v>
      </c>
      <c r="M224" s="5">
        <v>0.24425243013790848</v>
      </c>
      <c r="N224" s="3">
        <v>2.5366960396039606</v>
      </c>
      <c r="O224" s="23" t="s">
        <v>53</v>
      </c>
    </row>
    <row r="225" spans="1:15" x14ac:dyDescent="0.25">
      <c r="A225" s="1" t="s">
        <v>21</v>
      </c>
      <c r="B225" s="2">
        <v>223</v>
      </c>
      <c r="C225" s="3">
        <v>349578.21</v>
      </c>
      <c r="D225" s="3">
        <v>6513720.3399999999</v>
      </c>
      <c r="E225" s="3" t="s">
        <v>19</v>
      </c>
      <c r="F225" s="2" t="s">
        <v>20</v>
      </c>
      <c r="G225" s="3">
        <v>4.5792000000000002</v>
      </c>
      <c r="H225" s="4">
        <v>53.300000000000011</v>
      </c>
      <c r="I225" s="4">
        <v>28.54880000000017</v>
      </c>
      <c r="J225" s="4">
        <v>18.151199999999818</v>
      </c>
      <c r="K225" s="5">
        <v>1.543867885966044</v>
      </c>
      <c r="L225" s="3">
        <v>0.4170840919916815</v>
      </c>
      <c r="M225" s="5">
        <v>6.210653361492284E-2</v>
      </c>
      <c r="N225" s="3">
        <v>2.2734059405940594</v>
      </c>
      <c r="O225" s="23" t="s">
        <v>52</v>
      </c>
    </row>
    <row r="226" spans="1:15" x14ac:dyDescent="0.25">
      <c r="A226" s="1" t="s">
        <v>21</v>
      </c>
      <c r="B226" s="2">
        <v>224</v>
      </c>
      <c r="C226" s="3">
        <v>349365.21</v>
      </c>
      <c r="D226" s="3">
        <v>6513864.3600000003</v>
      </c>
      <c r="E226" s="3" t="s">
        <v>19</v>
      </c>
      <c r="F226" s="2" t="s">
        <v>20</v>
      </c>
      <c r="G226" s="3">
        <v>241.33919999999998</v>
      </c>
      <c r="H226" s="4">
        <v>66</v>
      </c>
      <c r="I226" s="4">
        <v>20.144800000000686</v>
      </c>
      <c r="J226" s="4">
        <v>13.855199999999313</v>
      </c>
      <c r="K226" s="5">
        <v>1.4399989209781439</v>
      </c>
      <c r="L226" s="3">
        <v>0.45551472795285602</v>
      </c>
      <c r="M226" s="5">
        <v>0.18774297472524545</v>
      </c>
      <c r="N226" s="3">
        <v>2.1605673267326733</v>
      </c>
      <c r="O226" s="23" t="s">
        <v>57</v>
      </c>
    </row>
    <row r="227" spans="1:15" x14ac:dyDescent="0.25">
      <c r="A227" s="1" t="s">
        <v>21</v>
      </c>
      <c r="B227" s="2">
        <v>225</v>
      </c>
      <c r="C227" s="3">
        <v>349152.21</v>
      </c>
      <c r="D227" s="3">
        <v>6514008.3700000001</v>
      </c>
      <c r="E227" s="3" t="s">
        <v>19</v>
      </c>
      <c r="F227" s="2" t="s">
        <v>20</v>
      </c>
      <c r="G227" s="3">
        <v>462.8304</v>
      </c>
      <c r="H227" s="4">
        <v>72.36666666666666</v>
      </c>
      <c r="I227" s="4">
        <v>17.986133333333029</v>
      </c>
      <c r="J227" s="4">
        <v>9.6472000000003071</v>
      </c>
      <c r="K227" s="5">
        <v>1.3484966913409553</v>
      </c>
      <c r="L227" s="3">
        <v>0.48375006632627932</v>
      </c>
      <c r="M227" s="5">
        <v>0.20471471376515674</v>
      </c>
      <c r="N227" s="3">
        <v>1.968323762376238</v>
      </c>
      <c r="O227" s="23" t="s">
        <v>53</v>
      </c>
    </row>
    <row r="228" spans="1:15" x14ac:dyDescent="0.25">
      <c r="A228" s="1" t="s">
        <v>21</v>
      </c>
      <c r="B228" s="2">
        <v>226</v>
      </c>
      <c r="C228" s="3">
        <v>348939.21</v>
      </c>
      <c r="D228" s="3">
        <v>6514152.3799999999</v>
      </c>
      <c r="E228" s="3" t="s">
        <v>19</v>
      </c>
      <c r="F228" s="2" t="s">
        <v>20</v>
      </c>
      <c r="G228" s="3">
        <v>876.21120000000008</v>
      </c>
      <c r="H228" s="4">
        <v>58.633333333333347</v>
      </c>
      <c r="I228" s="4">
        <v>20.167466666666826</v>
      </c>
      <c r="J228" s="4">
        <v>21.19919999999982</v>
      </c>
      <c r="K228" s="5">
        <v>1.1931286922869468</v>
      </c>
      <c r="L228" s="3">
        <v>0.54154405110092174</v>
      </c>
      <c r="M228" s="5">
        <v>0.28491977762606491</v>
      </c>
      <c r="N228" s="3">
        <v>2.5659504950495058</v>
      </c>
      <c r="O228" s="23" t="s">
        <v>53</v>
      </c>
    </row>
    <row r="229" spans="1:15" x14ac:dyDescent="0.25">
      <c r="A229" s="1" t="s">
        <v>21</v>
      </c>
      <c r="B229" s="2">
        <v>227</v>
      </c>
      <c r="C229" s="3">
        <v>348726.21</v>
      </c>
      <c r="D229" s="3">
        <v>6514296.3899999997</v>
      </c>
      <c r="E229" s="3" t="s">
        <v>19</v>
      </c>
      <c r="F229" s="2" t="s">
        <v>20</v>
      </c>
      <c r="G229" s="3">
        <v>416.23919999999998</v>
      </c>
      <c r="H229" s="4">
        <v>51.366666666666653</v>
      </c>
      <c r="I229" s="4">
        <v>29.210133333333658</v>
      </c>
      <c r="J229" s="4">
        <v>19.423199999999696</v>
      </c>
      <c r="K229" s="5">
        <v>1.5204697904433366</v>
      </c>
      <c r="L229" s="3">
        <v>0.41103397673163455</v>
      </c>
      <c r="M229" s="5">
        <v>0.10594913155383363</v>
      </c>
      <c r="N229" s="3">
        <v>2.1772841584158416</v>
      </c>
      <c r="O229" s="23" t="s">
        <v>52</v>
      </c>
    </row>
    <row r="230" spans="1:15" x14ac:dyDescent="0.25">
      <c r="A230" s="1" t="s">
        <v>21</v>
      </c>
      <c r="B230" s="2">
        <v>228</v>
      </c>
      <c r="C230" s="3">
        <v>348513.21</v>
      </c>
      <c r="D230" s="3">
        <v>6514440.4100000001</v>
      </c>
      <c r="E230" s="3" t="s">
        <v>19</v>
      </c>
      <c r="F230" s="2" t="s">
        <v>20</v>
      </c>
      <c r="G230" s="3">
        <v>108.8304</v>
      </c>
      <c r="H230" s="4">
        <v>65.266666666666652</v>
      </c>
      <c r="I230" s="4">
        <v>18.886133333333561</v>
      </c>
      <c r="J230" s="4">
        <v>15.847199999999788</v>
      </c>
      <c r="K230" s="5">
        <v>1.492484971480694</v>
      </c>
      <c r="L230" s="3">
        <v>0.40331006662810426</v>
      </c>
      <c r="M230" s="5">
        <v>0.12423600754006284</v>
      </c>
      <c r="N230" s="3">
        <v>2.306839603960396</v>
      </c>
      <c r="O230" s="23" t="s">
        <v>52</v>
      </c>
    </row>
    <row r="231" spans="1:15" x14ac:dyDescent="0.25">
      <c r="A231" s="1" t="s">
        <v>21</v>
      </c>
      <c r="B231" s="2">
        <v>229</v>
      </c>
      <c r="C231" s="3">
        <v>348300.2</v>
      </c>
      <c r="D231" s="3">
        <v>6514584.4199999999</v>
      </c>
      <c r="E231" s="3" t="s">
        <v>19</v>
      </c>
      <c r="F231" s="2" t="s">
        <v>20</v>
      </c>
      <c r="G231" s="3">
        <v>761.83920000000001</v>
      </c>
      <c r="H231" s="4">
        <v>81.033333333333346</v>
      </c>
      <c r="I231" s="4">
        <v>10.695466666666832</v>
      </c>
      <c r="J231" s="4">
        <v>8.2711999999998209</v>
      </c>
      <c r="K231" s="5">
        <v>1.4761121105938366</v>
      </c>
      <c r="L231" s="3">
        <v>0.45393898617422385</v>
      </c>
      <c r="M231" s="5">
        <v>0.33209083943231626</v>
      </c>
      <c r="N231" s="3">
        <v>1.909814851485149</v>
      </c>
      <c r="O231" s="23" t="s">
        <v>52</v>
      </c>
    </row>
    <row r="232" spans="1:15" x14ac:dyDescent="0.25">
      <c r="A232" s="1" t="s">
        <v>21</v>
      </c>
      <c r="B232" s="2">
        <v>230</v>
      </c>
      <c r="C232" s="3">
        <v>348087.2</v>
      </c>
      <c r="D232" s="3">
        <v>6514728.4299999997</v>
      </c>
      <c r="E232" s="3" t="s">
        <v>19</v>
      </c>
      <c r="F232" s="2" t="s">
        <v>20</v>
      </c>
      <c r="G232" s="3">
        <v>57.280799999999999</v>
      </c>
      <c r="H232" s="4">
        <v>56.966666666666661</v>
      </c>
      <c r="I232" s="4">
        <v>21.882133333332831</v>
      </c>
      <c r="J232" s="4">
        <v>21.1512000000005</v>
      </c>
      <c r="K232" s="5">
        <v>1.5249210410390546</v>
      </c>
      <c r="L232" s="3">
        <v>0.463334972123849</v>
      </c>
      <c r="M232" s="5">
        <v>0.15550196353477896</v>
      </c>
      <c r="N232" s="3">
        <v>2.235793069306931</v>
      </c>
      <c r="O232" s="23" t="s">
        <v>52</v>
      </c>
    </row>
    <row r="233" spans="1:15" x14ac:dyDescent="0.25">
      <c r="A233" s="1" t="s">
        <v>21</v>
      </c>
      <c r="B233" s="2">
        <v>231</v>
      </c>
      <c r="C233" s="3">
        <v>347874.2</v>
      </c>
      <c r="D233" s="3">
        <v>6514872.4500000002</v>
      </c>
      <c r="E233" s="3" t="s">
        <v>19</v>
      </c>
      <c r="F233" s="2" t="s">
        <v>20</v>
      </c>
      <c r="G233" s="3">
        <v>129.46080000000001</v>
      </c>
      <c r="H233" s="4">
        <v>60.633333333333347</v>
      </c>
      <c r="I233" s="4">
        <v>18.887466666667137</v>
      </c>
      <c r="J233" s="4">
        <v>20.479199999999508</v>
      </c>
      <c r="K233" s="5">
        <v>1.3473354955333765</v>
      </c>
      <c r="L233" s="3">
        <v>0.47017224059345541</v>
      </c>
      <c r="M233" s="5">
        <v>0.1239423573004548</v>
      </c>
      <c r="N233" s="3">
        <v>2.3360940594059412</v>
      </c>
      <c r="O233" s="23" t="s">
        <v>52</v>
      </c>
    </row>
    <row r="234" spans="1:15" x14ac:dyDescent="0.25">
      <c r="A234" s="1" t="s">
        <v>21</v>
      </c>
      <c r="B234" s="2">
        <v>232</v>
      </c>
      <c r="C234" s="3">
        <v>347661.2</v>
      </c>
      <c r="D234" s="3">
        <v>6515016.46</v>
      </c>
      <c r="E234" s="3" t="s">
        <v>19</v>
      </c>
      <c r="F234" s="2" t="s">
        <v>20</v>
      </c>
      <c r="G234" s="3">
        <v>77.899200000000008</v>
      </c>
      <c r="H234" s="4">
        <v>69.950000000000017</v>
      </c>
      <c r="I234" s="4">
        <v>17.406799999999976</v>
      </c>
      <c r="J234" s="4">
        <v>12.643200000000006</v>
      </c>
      <c r="K234" s="5">
        <v>1.5568926322743832</v>
      </c>
      <c r="L234" s="3">
        <v>0.39189973917549226</v>
      </c>
      <c r="M234" s="5">
        <v>0.12966301929733925</v>
      </c>
      <c r="N234" s="3">
        <v>2.2274346534653464</v>
      </c>
      <c r="O234" s="23" t="s">
        <v>55</v>
      </c>
    </row>
    <row r="235" spans="1:15" x14ac:dyDescent="0.25">
      <c r="A235" s="1" t="s">
        <v>21</v>
      </c>
      <c r="B235" s="2">
        <v>233</v>
      </c>
      <c r="C235" s="3">
        <v>347448.2</v>
      </c>
      <c r="D235" s="3">
        <v>6515160.4699999997</v>
      </c>
      <c r="E235" s="3" t="s">
        <v>19</v>
      </c>
      <c r="F235" s="2" t="s">
        <v>20</v>
      </c>
      <c r="G235" s="3">
        <v>2440.1711999999998</v>
      </c>
      <c r="H235" s="4">
        <v>77.966666666666683</v>
      </c>
      <c r="I235" s="4">
        <v>12.37013333333276</v>
      </c>
      <c r="J235" s="4">
        <v>9.663200000000554</v>
      </c>
      <c r="K235" s="5">
        <v>1.4113173845309541</v>
      </c>
      <c r="L235" s="3">
        <v>0.46106316822944327</v>
      </c>
      <c r="M235" s="5">
        <v>0.27565890428607015</v>
      </c>
      <c r="N235" s="3">
        <v>2.1020584158415843</v>
      </c>
      <c r="O235" s="23" t="s">
        <v>52</v>
      </c>
    </row>
    <row r="236" spans="1:15" x14ac:dyDescent="0.25">
      <c r="A236" s="1" t="s">
        <v>21</v>
      </c>
      <c r="B236" s="2">
        <v>234</v>
      </c>
      <c r="C236" s="3">
        <v>347235.19</v>
      </c>
      <c r="D236" s="3">
        <v>6515304.4900000002</v>
      </c>
      <c r="E236" s="3" t="s">
        <v>19</v>
      </c>
      <c r="F236" s="2" t="s">
        <v>20</v>
      </c>
      <c r="G236" s="3">
        <v>1897.1496000000002</v>
      </c>
      <c r="H236" s="4">
        <v>67.59999999999998</v>
      </c>
      <c r="I236" s="4">
        <v>18.176799999999858</v>
      </c>
      <c r="J236" s="4">
        <v>14.22320000000016</v>
      </c>
      <c r="K236" s="5">
        <v>1.365604976239279</v>
      </c>
      <c r="L236" s="3">
        <v>0.48858835579429877</v>
      </c>
      <c r="M236" s="5">
        <v>0.29989403706278661</v>
      </c>
      <c r="N236" s="3">
        <v>2.223255445544555</v>
      </c>
      <c r="O236" s="23" t="s">
        <v>52</v>
      </c>
    </row>
    <row r="237" spans="1:15" x14ac:dyDescent="0.25">
      <c r="A237" s="1" t="s">
        <v>21</v>
      </c>
      <c r="B237" s="2">
        <v>235</v>
      </c>
      <c r="C237" s="3">
        <v>347022.19</v>
      </c>
      <c r="D237" s="3">
        <v>6515448.5</v>
      </c>
      <c r="E237" s="3" t="s">
        <v>19</v>
      </c>
      <c r="F237" s="2" t="s">
        <v>20</v>
      </c>
      <c r="G237" s="3">
        <v>197.6208</v>
      </c>
      <c r="H237" s="4">
        <v>58.16666666666665</v>
      </c>
      <c r="I237" s="4">
        <v>17.530133333333083</v>
      </c>
      <c r="J237" s="4">
        <v>24.30320000000026</v>
      </c>
      <c r="K237" s="5">
        <v>1.5221341711008656</v>
      </c>
      <c r="L237" s="3">
        <v>0.37965719178282176</v>
      </c>
      <c r="M237" s="5">
        <v>5.6186746318360931E-2</v>
      </c>
      <c r="N237" s="3">
        <v>2.3653485148514855</v>
      </c>
      <c r="O237" s="23" t="s">
        <v>55</v>
      </c>
    </row>
    <row r="238" spans="1:15" x14ac:dyDescent="0.25">
      <c r="A238" s="1" t="s">
        <v>21</v>
      </c>
      <c r="B238" s="2">
        <v>236</v>
      </c>
      <c r="C238" s="3">
        <v>346809.19</v>
      </c>
      <c r="D238" s="3">
        <v>6515592.5099999998</v>
      </c>
      <c r="E238" s="3" t="s">
        <v>19</v>
      </c>
      <c r="F238" s="2" t="s">
        <v>20</v>
      </c>
      <c r="G238" s="3">
        <v>1850.1792</v>
      </c>
      <c r="H238" s="4">
        <v>59.266666666666673</v>
      </c>
      <c r="I238" s="4">
        <v>16.358133333333512</v>
      </c>
      <c r="J238" s="4">
        <v>24.375199999999808</v>
      </c>
      <c r="K238" s="5">
        <v>1.545435500306275</v>
      </c>
      <c r="L238" s="3">
        <v>0.40025693415280394</v>
      </c>
      <c r="M238" s="5">
        <v>0.19004178645416939</v>
      </c>
      <c r="N238" s="3">
        <v>2.2148970297029709</v>
      </c>
      <c r="O238" s="23" t="s">
        <v>55</v>
      </c>
    </row>
    <row r="239" spans="1:15" x14ac:dyDescent="0.25">
      <c r="A239" s="1" t="s">
        <v>21</v>
      </c>
      <c r="B239" s="2">
        <v>237</v>
      </c>
      <c r="C239" s="3">
        <v>346596.19</v>
      </c>
      <c r="D239" s="3">
        <v>6515736.5300000003</v>
      </c>
      <c r="E239" s="3" t="s">
        <v>19</v>
      </c>
      <c r="F239" s="2" t="s">
        <v>20</v>
      </c>
      <c r="G239" s="3">
        <v>1810.08</v>
      </c>
      <c r="H239" s="4">
        <v>50.199999999999996</v>
      </c>
      <c r="I239" s="4">
        <v>17.272800000000444</v>
      </c>
      <c r="J239" s="4">
        <v>32.527199999999567</v>
      </c>
      <c r="K239" s="5">
        <v>1.1039488542649154</v>
      </c>
      <c r="L239" s="3">
        <v>0.54937175767594715</v>
      </c>
      <c r="M239" s="5">
        <v>0.21262497347817125</v>
      </c>
      <c r="N239" s="3">
        <v>2.6035633663366342</v>
      </c>
      <c r="O239" s="23" t="s">
        <v>55</v>
      </c>
    </row>
    <row r="240" spans="1:15" x14ac:dyDescent="0.25">
      <c r="A240" s="1" t="s">
        <v>21</v>
      </c>
      <c r="B240" s="2">
        <v>238</v>
      </c>
      <c r="C240" s="3">
        <v>346383.19</v>
      </c>
      <c r="D240" s="3">
        <v>6515880.54</v>
      </c>
      <c r="E240" s="3" t="s">
        <v>19</v>
      </c>
      <c r="F240" s="2" t="s">
        <v>20</v>
      </c>
      <c r="G240" s="3">
        <v>474.8304</v>
      </c>
      <c r="H240" s="4">
        <v>61.300000000000004</v>
      </c>
      <c r="I240" s="4">
        <v>18.236800000000159</v>
      </c>
      <c r="J240" s="4">
        <v>20.46319999999983</v>
      </c>
      <c r="K240" s="5">
        <v>1.4553654121650998</v>
      </c>
      <c r="L240" s="3">
        <v>0.45725357463181793</v>
      </c>
      <c r="M240" s="5">
        <v>0.1652515355527352</v>
      </c>
      <c r="N240" s="3">
        <v>2.1689257425742574</v>
      </c>
      <c r="O240" s="23" t="s">
        <v>53</v>
      </c>
    </row>
    <row r="241" spans="1:15" x14ac:dyDescent="0.25">
      <c r="A241" s="1" t="s">
        <v>21</v>
      </c>
      <c r="B241" s="2">
        <v>239</v>
      </c>
      <c r="C241" s="3">
        <v>346170.19</v>
      </c>
      <c r="D241" s="3">
        <v>6516024.5499999998</v>
      </c>
      <c r="E241" s="3" t="s">
        <v>19</v>
      </c>
      <c r="F241" s="2" t="s">
        <v>20</v>
      </c>
      <c r="G241" s="3">
        <v>1182.2808</v>
      </c>
      <c r="H241" s="4">
        <v>62.683333333333337</v>
      </c>
      <c r="I241" s="4">
        <v>21.01746666666665</v>
      </c>
      <c r="J241" s="4">
        <v>16.299200000000013</v>
      </c>
      <c r="K241" s="5">
        <v>1.2256421748991462</v>
      </c>
      <c r="L241" s="3">
        <v>0.53749351890598263</v>
      </c>
      <c r="M241" s="5">
        <v>0.22215144409457138</v>
      </c>
      <c r="N241" s="3">
        <v>2.2316138613861387</v>
      </c>
      <c r="O241" s="23" t="s">
        <v>53</v>
      </c>
    </row>
    <row r="242" spans="1:15" x14ac:dyDescent="0.25">
      <c r="A242" s="1" t="s">
        <v>21</v>
      </c>
      <c r="B242" s="2">
        <v>240</v>
      </c>
      <c r="C242" s="3">
        <v>345957.18</v>
      </c>
      <c r="D242" s="3">
        <v>6516168.5700000003</v>
      </c>
      <c r="E242" s="3" t="s">
        <v>19</v>
      </c>
      <c r="F242" s="2" t="s">
        <v>20</v>
      </c>
      <c r="G242" s="3">
        <v>1632.5111999999999</v>
      </c>
      <c r="H242" s="4">
        <v>64.066666666666663</v>
      </c>
      <c r="I242" s="4">
        <v>23.798133333333141</v>
      </c>
      <c r="J242" s="4">
        <v>12.135200000000195</v>
      </c>
      <c r="K242" s="5">
        <v>1.3802360434147687</v>
      </c>
      <c r="L242" s="3">
        <v>0.4545455313765443</v>
      </c>
      <c r="M242" s="5">
        <v>0.15731811116335787</v>
      </c>
      <c r="N242" s="3">
        <v>2.2399722772277233</v>
      </c>
      <c r="O242" s="23" t="s">
        <v>53</v>
      </c>
    </row>
    <row r="243" spans="1:15" x14ac:dyDescent="0.25">
      <c r="A243" s="1" t="s">
        <v>21</v>
      </c>
      <c r="B243" s="2">
        <v>241</v>
      </c>
      <c r="C243" s="3">
        <v>345744.18</v>
      </c>
      <c r="D243" s="3">
        <v>6516312.5800000001</v>
      </c>
      <c r="E243" s="3" t="s">
        <v>19</v>
      </c>
      <c r="F243" s="2" t="s">
        <v>20</v>
      </c>
      <c r="G243" s="3">
        <v>135.18</v>
      </c>
      <c r="H243" s="4">
        <v>52.699999999999996</v>
      </c>
      <c r="I243" s="4">
        <v>28.228800000000348</v>
      </c>
      <c r="J243" s="4">
        <v>19.071199999999664</v>
      </c>
      <c r="K243" s="5">
        <v>1.6443693831119666</v>
      </c>
      <c r="L243" s="3">
        <v>0.35663848097400341</v>
      </c>
      <c r="M243" s="5">
        <v>2.7245936890891612E-2</v>
      </c>
      <c r="N243" s="3">
        <v>1.9599653465346536</v>
      </c>
      <c r="O243" s="23" t="s">
        <v>55</v>
      </c>
    </row>
    <row r="244" spans="1:15" x14ac:dyDescent="0.25">
      <c r="A244" s="1" t="s">
        <v>21</v>
      </c>
      <c r="B244" s="2">
        <v>242</v>
      </c>
      <c r="C244" s="3">
        <v>345531.18</v>
      </c>
      <c r="D244" s="3">
        <v>6516456.5899999999</v>
      </c>
      <c r="E244" s="3" t="s">
        <v>19</v>
      </c>
      <c r="F244" s="2" t="s">
        <v>20</v>
      </c>
      <c r="G244" s="3">
        <v>4994.9111999999996</v>
      </c>
      <c r="H244" s="4">
        <v>68.933333333333337</v>
      </c>
      <c r="I244" s="4">
        <v>16.891466666666673</v>
      </c>
      <c r="J244" s="4">
        <v>14.175199999999988</v>
      </c>
      <c r="K244" s="5">
        <v>1.4843566008276439</v>
      </c>
      <c r="L244" s="3">
        <v>0.41527846837973981</v>
      </c>
      <c r="M244" s="5">
        <v>0.20343764655049523</v>
      </c>
      <c r="N244" s="3">
        <v>2.1647465346534656</v>
      </c>
      <c r="O244" s="23" t="s">
        <v>55</v>
      </c>
    </row>
    <row r="245" spans="1:15" x14ac:dyDescent="0.25">
      <c r="A245" s="1" t="s">
        <v>21</v>
      </c>
      <c r="B245" s="2">
        <v>243</v>
      </c>
      <c r="C245" s="3">
        <v>345318.18</v>
      </c>
      <c r="D245" s="3">
        <v>6516600.6100000003</v>
      </c>
      <c r="E245" s="3" t="s">
        <v>19</v>
      </c>
      <c r="F245" s="2" t="s">
        <v>20</v>
      </c>
      <c r="G245" s="3">
        <v>2738.0304000000001</v>
      </c>
      <c r="H245" s="4">
        <v>83.733333333333334</v>
      </c>
      <c r="I245" s="4">
        <v>9.2994666666669303</v>
      </c>
      <c r="J245" s="4">
        <v>6.9671999999997327</v>
      </c>
      <c r="K245" s="5">
        <v>1.4176652549457167</v>
      </c>
      <c r="L245" s="3">
        <v>0.43081579293065819</v>
      </c>
      <c r="M245" s="5">
        <v>0.26596469478142498</v>
      </c>
      <c r="N245" s="3">
        <v>2.0226534653465351</v>
      </c>
      <c r="O245" s="23" t="s">
        <v>52</v>
      </c>
    </row>
    <row r="246" spans="1:15" x14ac:dyDescent="0.25">
      <c r="A246" s="1" t="s">
        <v>21</v>
      </c>
      <c r="B246" s="2">
        <v>244</v>
      </c>
      <c r="C246" s="3">
        <v>345105.18</v>
      </c>
      <c r="D246" s="3">
        <v>6516744.6200000001</v>
      </c>
      <c r="E246" s="3" t="s">
        <v>19</v>
      </c>
      <c r="F246" s="2" t="s">
        <v>20</v>
      </c>
      <c r="G246" s="3">
        <v>2513.4911999999999</v>
      </c>
      <c r="H246" s="4">
        <v>73.466666666666669</v>
      </c>
      <c r="I246" s="4">
        <v>13.08613333333335</v>
      </c>
      <c r="J246" s="4">
        <v>13.447199999999981</v>
      </c>
      <c r="K246" s="5">
        <v>1.2958171082038088</v>
      </c>
      <c r="L246" s="3">
        <v>0.48264342593179355</v>
      </c>
      <c r="M246" s="5">
        <v>0.26851891901431135</v>
      </c>
      <c r="N246" s="3">
        <v>2.2316138613861387</v>
      </c>
      <c r="O246" s="23" t="s">
        <v>53</v>
      </c>
    </row>
    <row r="247" spans="1:15" x14ac:dyDescent="0.25">
      <c r="A247" s="1" t="s">
        <v>21</v>
      </c>
      <c r="B247" s="2">
        <v>245</v>
      </c>
      <c r="C247" s="3">
        <v>344892.17</v>
      </c>
      <c r="D247" s="3">
        <v>6516888.6299999999</v>
      </c>
      <c r="E247" s="3" t="s">
        <v>19</v>
      </c>
      <c r="F247" s="2" t="s">
        <v>20</v>
      </c>
      <c r="G247" s="3">
        <v>618.64080000000001</v>
      </c>
      <c r="H247" s="4">
        <v>58.79999999999999</v>
      </c>
      <c r="I247" s="4">
        <v>21.184800000000564</v>
      </c>
      <c r="J247" s="4">
        <v>20.015199999999453</v>
      </c>
      <c r="K247" s="5">
        <v>1.3530253549905116</v>
      </c>
      <c r="L247" s="3">
        <v>0.4688895528238749</v>
      </c>
      <c r="M247" s="5">
        <v>0.14332895490577244</v>
      </c>
      <c r="N247" s="3">
        <v>2.2023594059405944</v>
      </c>
      <c r="O247" s="23" t="s">
        <v>53</v>
      </c>
    </row>
    <row r="248" spans="1:15" x14ac:dyDescent="0.25">
      <c r="A248" s="1" t="s">
        <v>21</v>
      </c>
      <c r="B248" s="2">
        <v>246</v>
      </c>
      <c r="C248" s="3">
        <v>344679.17</v>
      </c>
      <c r="D248" s="3">
        <v>6517032.6500000004</v>
      </c>
      <c r="E248" s="3" t="s">
        <v>19</v>
      </c>
      <c r="F248" s="2" t="s">
        <v>20</v>
      </c>
      <c r="G248" s="3">
        <v>2803.3391999999999</v>
      </c>
      <c r="H248" s="4">
        <v>61.300000000000004</v>
      </c>
      <c r="I248" s="4">
        <v>15.180800000000175</v>
      </c>
      <c r="J248" s="4">
        <v>23.519199999999813</v>
      </c>
      <c r="K248" s="5">
        <v>1.304913142029841</v>
      </c>
      <c r="L248" s="3">
        <v>0.44779933269949784</v>
      </c>
      <c r="M248" s="5">
        <v>0.17456995917626833</v>
      </c>
      <c r="N248" s="3">
        <v>2.5032623762376245</v>
      </c>
      <c r="O248" s="23" t="s">
        <v>52</v>
      </c>
    </row>
    <row r="249" spans="1:15" x14ac:dyDescent="0.25">
      <c r="A249" s="1" t="s">
        <v>21</v>
      </c>
      <c r="B249" s="2">
        <v>247</v>
      </c>
      <c r="C249" s="3">
        <v>344466.17</v>
      </c>
      <c r="D249" s="3">
        <v>6517176.6600000001</v>
      </c>
      <c r="E249" s="3" t="s">
        <v>19</v>
      </c>
      <c r="F249" s="2" t="s">
        <v>20</v>
      </c>
      <c r="G249" s="3">
        <v>2214.8712</v>
      </c>
      <c r="H249" s="4">
        <v>73.500000000000014</v>
      </c>
      <c r="I249" s="4">
        <v>12.540799999999493</v>
      </c>
      <c r="J249" s="4">
        <v>13.959200000000491</v>
      </c>
      <c r="K249" s="5">
        <v>1.5504286422788629</v>
      </c>
      <c r="L249" s="3">
        <v>0.435807713247373</v>
      </c>
      <c r="M249" s="5">
        <v>0.25709967846103621</v>
      </c>
      <c r="N249" s="3">
        <v>2.1229544554455444</v>
      </c>
      <c r="O249" s="23" t="s">
        <v>52</v>
      </c>
    </row>
    <row r="250" spans="1:15" x14ac:dyDescent="0.25">
      <c r="A250" s="1" t="s">
        <v>21</v>
      </c>
      <c r="B250" s="2">
        <v>248</v>
      </c>
      <c r="C250" s="3">
        <v>344253.17</v>
      </c>
      <c r="D250" s="3">
        <v>6517320.6699999999</v>
      </c>
      <c r="E250" s="3" t="s">
        <v>19</v>
      </c>
      <c r="F250" s="2" t="s">
        <v>20</v>
      </c>
      <c r="G250" s="3">
        <v>1454.94</v>
      </c>
      <c r="H250" s="4">
        <v>75.23333333333332</v>
      </c>
      <c r="I250" s="4">
        <v>14.383466666666664</v>
      </c>
      <c r="J250" s="4">
        <v>10.383200000000015</v>
      </c>
      <c r="K250" s="5">
        <v>1.4433663888201214</v>
      </c>
      <c r="L250" s="3">
        <v>0.45881558499374309</v>
      </c>
      <c r="M250" s="5">
        <v>0.25905119956331502</v>
      </c>
      <c r="N250" s="3">
        <v>2.026832673267327</v>
      </c>
      <c r="O250" s="23" t="s">
        <v>52</v>
      </c>
    </row>
    <row r="251" spans="1:15" x14ac:dyDescent="0.25">
      <c r="A251" s="1" t="s">
        <v>21</v>
      </c>
      <c r="B251" s="2">
        <v>249</v>
      </c>
      <c r="C251" s="3">
        <v>344040.17</v>
      </c>
      <c r="D251" s="3">
        <v>6517464.6900000004</v>
      </c>
      <c r="E251" s="3" t="s">
        <v>19</v>
      </c>
      <c r="F251" s="2" t="s">
        <v>20</v>
      </c>
      <c r="G251" s="3">
        <v>1603.8696</v>
      </c>
      <c r="H251" s="4">
        <v>76.033333333333346</v>
      </c>
      <c r="I251" s="4">
        <v>13.92746666666612</v>
      </c>
      <c r="J251" s="4">
        <v>10.039200000000532</v>
      </c>
      <c r="K251" s="5">
        <v>1.456604021026517</v>
      </c>
      <c r="L251" s="3">
        <v>0.41868803001391264</v>
      </c>
      <c r="M251" s="5">
        <v>0.24075412576596161</v>
      </c>
      <c r="N251" s="3">
        <v>1.9181732673267331</v>
      </c>
      <c r="O251" s="23" t="s">
        <v>54</v>
      </c>
    </row>
    <row r="252" spans="1:15" x14ac:dyDescent="0.25">
      <c r="A252" s="1" t="s">
        <v>21</v>
      </c>
      <c r="B252" s="2">
        <v>250</v>
      </c>
      <c r="C252" s="3">
        <v>343827.17</v>
      </c>
      <c r="D252" s="3">
        <v>6517608.7000000002</v>
      </c>
      <c r="E252" s="3" t="s">
        <v>19</v>
      </c>
      <c r="F252" s="2" t="s">
        <v>20</v>
      </c>
      <c r="G252" s="3">
        <v>22.910400000000003</v>
      </c>
      <c r="H252" s="4">
        <v>71.63333333333334</v>
      </c>
      <c r="I252" s="4">
        <v>11.751466666666673</v>
      </c>
      <c r="J252" s="4">
        <v>16.615199999999987</v>
      </c>
      <c r="K252" s="5">
        <v>1.553409044851648</v>
      </c>
      <c r="L252" s="3">
        <v>0.33426939388057308</v>
      </c>
      <c r="M252" s="5">
        <v>8.5152633278740095E-3</v>
      </c>
      <c r="N252" s="3">
        <v>1.9850405940594065</v>
      </c>
      <c r="O252" s="23" t="s">
        <v>56</v>
      </c>
    </row>
    <row r="253" spans="1:15" x14ac:dyDescent="0.25">
      <c r="A253" s="1" t="s">
        <v>21</v>
      </c>
      <c r="B253" s="2">
        <v>251</v>
      </c>
      <c r="C253" s="3">
        <v>343614.16</v>
      </c>
      <c r="D253" s="3">
        <v>6517752.71</v>
      </c>
      <c r="E253" s="3" t="s">
        <v>19</v>
      </c>
      <c r="F253" s="2" t="s">
        <v>20</v>
      </c>
      <c r="G253" s="3">
        <v>123.7296</v>
      </c>
      <c r="H253" s="4">
        <v>68.8</v>
      </c>
      <c r="I253" s="4">
        <v>17.656800000000246</v>
      </c>
      <c r="J253" s="4">
        <v>13.543199999999755</v>
      </c>
      <c r="K253" s="5">
        <v>1.5296045307962878</v>
      </c>
      <c r="L253" s="3">
        <v>0.38577762421762907</v>
      </c>
      <c r="M253" s="5">
        <v>0.10844535884095499</v>
      </c>
      <c r="N253" s="3">
        <v>2.0393702970297034</v>
      </c>
      <c r="O253" s="23" t="s">
        <v>56</v>
      </c>
    </row>
    <row r="254" spans="1:15" x14ac:dyDescent="0.25">
      <c r="A254" s="1" t="s">
        <v>21</v>
      </c>
      <c r="B254" s="2">
        <v>252</v>
      </c>
      <c r="C254" s="3">
        <v>343401.16</v>
      </c>
      <c r="D254" s="3">
        <v>6517896.7199999997</v>
      </c>
      <c r="E254" s="3" t="s">
        <v>19</v>
      </c>
      <c r="F254" s="2" t="s">
        <v>20</v>
      </c>
      <c r="G254" s="3">
        <v>358.96080000000001</v>
      </c>
      <c r="H254" s="4">
        <v>64.333333333333329</v>
      </c>
      <c r="I254" s="4">
        <v>19.123466666666232</v>
      </c>
      <c r="J254" s="4">
        <v>16.543200000000439</v>
      </c>
      <c r="K254" s="5">
        <v>1.6516849166997114</v>
      </c>
      <c r="L254" s="3">
        <v>0.3014428238309601</v>
      </c>
      <c r="M254" s="5">
        <v>3.901257131821069E-2</v>
      </c>
      <c r="N254" s="3">
        <v>2.1856425742574257</v>
      </c>
      <c r="O254" s="23" t="s">
        <v>56</v>
      </c>
    </row>
    <row r="255" spans="1:15" x14ac:dyDescent="0.25">
      <c r="A255" s="1" t="s">
        <v>21</v>
      </c>
      <c r="B255" s="2">
        <v>253</v>
      </c>
      <c r="C255" s="3">
        <v>343188.16</v>
      </c>
      <c r="D255" s="3">
        <v>6518040.7400000002</v>
      </c>
      <c r="E255" s="3" t="s">
        <v>19</v>
      </c>
      <c r="F255" s="2" t="s">
        <v>20</v>
      </c>
      <c r="G255" s="3">
        <v>504.06959999999998</v>
      </c>
      <c r="H255" s="4">
        <v>69.600000000000009</v>
      </c>
      <c r="I255" s="4">
        <v>15.72080000000004</v>
      </c>
      <c r="J255" s="4">
        <v>14.67919999999995</v>
      </c>
      <c r="K255" s="5">
        <v>1.5620406003546483</v>
      </c>
      <c r="L255" s="3">
        <v>0.41497857833501006</v>
      </c>
      <c r="M255" s="5">
        <v>0.17085651305508254</v>
      </c>
      <c r="N255" s="3">
        <v>2.0143366336633663</v>
      </c>
      <c r="O255" s="23" t="s">
        <v>54</v>
      </c>
    </row>
    <row r="256" spans="1:15" x14ac:dyDescent="0.25">
      <c r="A256" s="1" t="s">
        <v>21</v>
      </c>
      <c r="B256" s="2">
        <v>254</v>
      </c>
      <c r="C256" s="3">
        <v>342975.16</v>
      </c>
      <c r="D256" s="3">
        <v>6518184.75</v>
      </c>
      <c r="E256" s="3" t="s">
        <v>19</v>
      </c>
      <c r="F256" s="2" t="s">
        <v>20</v>
      </c>
      <c r="G256" s="3">
        <v>6.8712</v>
      </c>
      <c r="H256" s="4">
        <v>47.566666666666663</v>
      </c>
      <c r="I256" s="4">
        <v>29.346133333333086</v>
      </c>
      <c r="J256" s="4">
        <v>23.087200000000252</v>
      </c>
      <c r="K256" s="5">
        <v>1.4022987637587605</v>
      </c>
      <c r="L256" s="3">
        <v>0.45883978002313375</v>
      </c>
      <c r="M256" s="5">
        <v>3.3416342653276913E-2</v>
      </c>
      <c r="N256" s="3">
        <v>2.3050663733039976</v>
      </c>
      <c r="O256" s="23" t="s">
        <v>56</v>
      </c>
    </row>
    <row r="257" spans="1:15" x14ac:dyDescent="0.25">
      <c r="A257" s="1" t="s">
        <v>21</v>
      </c>
      <c r="B257" s="2">
        <v>255</v>
      </c>
      <c r="C257" s="3">
        <v>342762.16</v>
      </c>
      <c r="D257" s="3">
        <v>6518328.7599999998</v>
      </c>
      <c r="E257" s="3" t="s">
        <v>19</v>
      </c>
      <c r="F257" s="2" t="s">
        <v>20</v>
      </c>
      <c r="G257" s="3">
        <v>1272.9096000000002</v>
      </c>
      <c r="H257" s="4">
        <v>69.399999999999991</v>
      </c>
      <c r="I257" s="4">
        <v>15.248800000000486</v>
      </c>
      <c r="J257" s="4">
        <v>15.351199999999521</v>
      </c>
      <c r="K257" s="5">
        <v>1.4581522821032884</v>
      </c>
      <c r="L257" s="3">
        <v>0.42371208985437958</v>
      </c>
      <c r="M257" s="5">
        <v>0.16399129422598005</v>
      </c>
      <c r="N257" s="3">
        <v>2.2967598093142652</v>
      </c>
      <c r="O257" s="23" t="s">
        <v>53</v>
      </c>
    </row>
    <row r="258" spans="1:15" x14ac:dyDescent="0.25">
      <c r="A258" s="1" t="s">
        <v>21</v>
      </c>
      <c r="B258" s="2">
        <v>256</v>
      </c>
      <c r="C258" s="3">
        <v>342549.15</v>
      </c>
      <c r="D258" s="3">
        <v>6518472.7800000003</v>
      </c>
      <c r="E258" s="3" t="s">
        <v>19</v>
      </c>
      <c r="F258" s="2" t="s">
        <v>20</v>
      </c>
      <c r="G258" s="3">
        <v>1955.1912</v>
      </c>
      <c r="H258" s="4">
        <v>64.499999999999986</v>
      </c>
      <c r="I258" s="4">
        <v>19.160799999999242</v>
      </c>
      <c r="J258" s="4">
        <v>16.339200000000773</v>
      </c>
      <c r="K258" s="5">
        <v>1.5415261410874275</v>
      </c>
      <c r="L258" s="3">
        <v>0.38668417743284522</v>
      </c>
      <c r="M258" s="5">
        <v>0.10064294349933249</v>
      </c>
      <c r="N258" s="3">
        <v>2.3175262192885957</v>
      </c>
      <c r="O258" s="23" t="s">
        <v>55</v>
      </c>
    </row>
    <row r="259" spans="1:15" x14ac:dyDescent="0.25">
      <c r="A259" s="1" t="s">
        <v>21</v>
      </c>
      <c r="B259" s="2">
        <v>257</v>
      </c>
      <c r="C259" s="3">
        <v>342336.15</v>
      </c>
      <c r="D259" s="3">
        <v>6518616.79</v>
      </c>
      <c r="E259" s="3" t="s">
        <v>19</v>
      </c>
      <c r="F259" s="2" t="s">
        <v>20</v>
      </c>
      <c r="G259" s="3">
        <v>4448.8296</v>
      </c>
      <c r="H259" s="4">
        <v>71.2</v>
      </c>
      <c r="I259" s="4">
        <v>13.224800000000428</v>
      </c>
      <c r="J259" s="4">
        <v>15.575199999999567</v>
      </c>
      <c r="K259" s="5">
        <v>1.4096530038734247</v>
      </c>
      <c r="L259" s="3">
        <v>0.46002785572355775</v>
      </c>
      <c r="M259" s="5">
        <v>0.2419939895872277</v>
      </c>
      <c r="N259" s="3">
        <v>2.1472416574990834</v>
      </c>
      <c r="O259" s="23" t="s">
        <v>55</v>
      </c>
    </row>
    <row r="260" spans="1:15" x14ac:dyDescent="0.25">
      <c r="A260" s="1" t="s">
        <v>21</v>
      </c>
      <c r="B260" s="2">
        <v>258</v>
      </c>
      <c r="C260" s="3">
        <v>342123.15</v>
      </c>
      <c r="D260" s="3">
        <v>6518760.7999999998</v>
      </c>
      <c r="E260" s="3" t="s">
        <v>19</v>
      </c>
      <c r="F260" s="2" t="s">
        <v>20</v>
      </c>
      <c r="G260" s="3">
        <v>123.15119999999999</v>
      </c>
      <c r="H260" s="4">
        <v>46.033333333333339</v>
      </c>
      <c r="I260" s="4">
        <v>27.887466666666285</v>
      </c>
      <c r="J260" s="4">
        <v>26.079200000000384</v>
      </c>
      <c r="K260" s="5">
        <v>1.1926255074369962</v>
      </c>
      <c r="L260" s="3">
        <v>0.5321081656856218</v>
      </c>
      <c r="M260" s="5">
        <v>0.16366073594095198</v>
      </c>
      <c r="N260" s="3">
        <v>2.7287011367803449</v>
      </c>
      <c r="O260" s="23" t="s">
        <v>57</v>
      </c>
    </row>
    <row r="261" spans="1:15" x14ac:dyDescent="0.25">
      <c r="A261" s="1" t="s">
        <v>21</v>
      </c>
      <c r="B261" s="2">
        <v>259</v>
      </c>
      <c r="C261" s="3">
        <v>341910.15</v>
      </c>
      <c r="D261" s="3">
        <v>6518904.8200000003</v>
      </c>
      <c r="E261" s="3" t="s">
        <v>19</v>
      </c>
      <c r="F261" s="2" t="s">
        <v>20</v>
      </c>
      <c r="G261" s="3">
        <v>2573.8296</v>
      </c>
      <c r="H261" s="4">
        <v>65.600000000000009</v>
      </c>
      <c r="I261" s="4">
        <v>11.208800000000267</v>
      </c>
      <c r="J261" s="4">
        <v>23.191199999999725</v>
      </c>
      <c r="K261" s="5">
        <v>1.4430180300778481</v>
      </c>
      <c r="L261" s="3">
        <v>0.42787219160847828</v>
      </c>
      <c r="M261" s="5">
        <v>0.20465165086496409</v>
      </c>
      <c r="N261" s="3">
        <v>2.508577191052439</v>
      </c>
      <c r="O261" s="23" t="s">
        <v>53</v>
      </c>
    </row>
    <row r="262" spans="1:15" x14ac:dyDescent="0.25">
      <c r="A262" s="1" t="s">
        <v>21</v>
      </c>
      <c r="B262" s="2">
        <v>260</v>
      </c>
      <c r="C262" s="3">
        <v>341697.15</v>
      </c>
      <c r="D262" s="3">
        <v>6519048.8300000001</v>
      </c>
      <c r="E262" s="3" t="s">
        <v>19</v>
      </c>
      <c r="F262" s="2" t="s">
        <v>20</v>
      </c>
      <c r="G262" s="3">
        <v>116.09039999999999</v>
      </c>
      <c r="H262" s="4">
        <v>45.5</v>
      </c>
      <c r="I262" s="4">
        <v>33.884799999999956</v>
      </c>
      <c r="J262" s="4">
        <v>20.615200000000044</v>
      </c>
      <c r="K262" s="5">
        <v>1.3649082587547319</v>
      </c>
      <c r="L262" s="3">
        <v>0.473963164209456</v>
      </c>
      <c r="M262" s="5">
        <v>0.11914043194037446</v>
      </c>
      <c r="N262" s="3">
        <v>2.4753509350935099</v>
      </c>
      <c r="O262" s="23" t="s">
        <v>55</v>
      </c>
    </row>
    <row r="263" spans="1:15" x14ac:dyDescent="0.25">
      <c r="A263" s="1" t="s">
        <v>21</v>
      </c>
      <c r="B263" s="2">
        <v>261</v>
      </c>
      <c r="C263" s="3">
        <v>341484.15</v>
      </c>
      <c r="D263" s="3">
        <v>6519192.8399999999</v>
      </c>
      <c r="E263" s="3" t="s">
        <v>19</v>
      </c>
      <c r="F263" s="2" t="s">
        <v>20</v>
      </c>
      <c r="G263" s="3">
        <v>2159.5008000000003</v>
      </c>
      <c r="H263" s="4">
        <v>53.400000000000006</v>
      </c>
      <c r="I263" s="4">
        <v>22.208800000000224</v>
      </c>
      <c r="J263" s="4">
        <v>24.39119999999977</v>
      </c>
      <c r="K263" s="5">
        <v>1.1996313888093868</v>
      </c>
      <c r="L263" s="3">
        <v>0.53500003102156857</v>
      </c>
      <c r="M263" s="5">
        <v>0.28611706293056871</v>
      </c>
      <c r="N263" s="3">
        <v>2.9031389805647239</v>
      </c>
      <c r="O263" s="23" t="s">
        <v>54</v>
      </c>
    </row>
    <row r="264" spans="1:15" x14ac:dyDescent="0.25">
      <c r="A264" s="1" t="s">
        <v>21</v>
      </c>
      <c r="B264" s="2">
        <v>262</v>
      </c>
      <c r="C264" s="3">
        <v>341271.14</v>
      </c>
      <c r="D264" s="3">
        <v>6519336.8600000003</v>
      </c>
      <c r="E264" s="3" t="s">
        <v>19</v>
      </c>
      <c r="F264" s="2" t="s">
        <v>20</v>
      </c>
      <c r="G264" s="3">
        <v>26.731200000000001</v>
      </c>
      <c r="H264" s="4">
        <v>50.933333333333344</v>
      </c>
      <c r="I264" s="4">
        <v>22.795466666666442</v>
      </c>
      <c r="J264" s="4">
        <v>26.271200000000221</v>
      </c>
      <c r="K264" s="5">
        <v>1.4093046451311511</v>
      </c>
      <c r="L264" s="3">
        <v>0.44435084582490392</v>
      </c>
      <c r="M264" s="5">
        <v>9.0921548524916324E-2</v>
      </c>
      <c r="N264" s="3">
        <v>2.4836574990832423</v>
      </c>
      <c r="O264" s="23" t="s">
        <v>52</v>
      </c>
    </row>
    <row r="265" spans="1:15" x14ac:dyDescent="0.25">
      <c r="A265" s="1" t="s">
        <v>21</v>
      </c>
      <c r="B265" s="2">
        <v>263</v>
      </c>
      <c r="C265" s="3">
        <v>341058.14</v>
      </c>
      <c r="D265" s="3">
        <v>6519480.8700000001</v>
      </c>
      <c r="E265" s="3" t="s">
        <v>19</v>
      </c>
      <c r="F265" s="2" t="s">
        <v>20</v>
      </c>
      <c r="G265" s="3">
        <v>332.2296</v>
      </c>
      <c r="H265" s="4">
        <v>60.366666666666653</v>
      </c>
      <c r="I265" s="4">
        <v>23.626133333333655</v>
      </c>
      <c r="J265" s="4">
        <v>16.007199999999699</v>
      </c>
      <c r="K265" s="5">
        <v>1.6780827680586636</v>
      </c>
      <c r="L265" s="3">
        <v>0.36246200919875371</v>
      </c>
      <c r="M265" s="5">
        <v>0.12569418403349036</v>
      </c>
      <c r="N265" s="3">
        <v>2.1680080674734139</v>
      </c>
      <c r="O265" s="23" t="s">
        <v>55</v>
      </c>
    </row>
    <row r="266" spans="1:15" x14ac:dyDescent="0.25">
      <c r="A266" s="1" t="s">
        <v>21</v>
      </c>
      <c r="B266" s="2">
        <v>264</v>
      </c>
      <c r="C266" s="3">
        <v>340845.14</v>
      </c>
      <c r="D266" s="3">
        <v>6519624.8799999999</v>
      </c>
      <c r="E266" s="3" t="s">
        <v>19</v>
      </c>
      <c r="F266" s="2" t="s">
        <v>20</v>
      </c>
      <c r="G266" s="3">
        <v>2291.2392</v>
      </c>
      <c r="H266" s="4">
        <v>67.266666666666666</v>
      </c>
      <c r="I266" s="4">
        <v>14.366133333332598</v>
      </c>
      <c r="J266" s="4">
        <v>18.367200000000736</v>
      </c>
      <c r="K266" s="5">
        <v>1.4655839352717912</v>
      </c>
      <c r="L266" s="3">
        <v>0.42071650645405773</v>
      </c>
      <c r="M266" s="5">
        <v>0.1912255083496196</v>
      </c>
      <c r="N266" s="3">
        <v>2.2801466813348004</v>
      </c>
      <c r="O266" s="23" t="s">
        <v>55</v>
      </c>
    </row>
    <row r="267" spans="1:15" x14ac:dyDescent="0.25">
      <c r="A267" s="1" t="s">
        <v>21</v>
      </c>
      <c r="B267" s="2">
        <v>265</v>
      </c>
      <c r="C267" s="3">
        <v>340632.14</v>
      </c>
      <c r="D267" s="3">
        <v>6519768.9000000004</v>
      </c>
      <c r="E267" s="3" t="s">
        <v>19</v>
      </c>
      <c r="F267" s="2" t="s">
        <v>20</v>
      </c>
      <c r="G267" s="3">
        <v>969.96</v>
      </c>
      <c r="H267" s="4">
        <v>66.066666666666663</v>
      </c>
      <c r="I267" s="4">
        <v>18.886133333333106</v>
      </c>
      <c r="J267" s="4">
        <v>15.047200000000229</v>
      </c>
      <c r="K267" s="5">
        <v>1.456604021026517</v>
      </c>
      <c r="L267" s="3">
        <v>0.45734278317211263</v>
      </c>
      <c r="M267" s="5">
        <v>0.19951860736275834</v>
      </c>
      <c r="N267" s="3">
        <v>2.0475628896222959</v>
      </c>
      <c r="O267" s="23" t="s">
        <v>53</v>
      </c>
    </row>
    <row r="268" spans="1:15" x14ac:dyDescent="0.25">
      <c r="A268" s="1" t="s">
        <v>21</v>
      </c>
      <c r="B268" s="2">
        <v>266</v>
      </c>
      <c r="C268" s="3">
        <v>340419.14</v>
      </c>
      <c r="D268" s="3">
        <v>6519912.9100000001</v>
      </c>
      <c r="E268" s="3" t="s">
        <v>19</v>
      </c>
      <c r="F268" s="2" t="s">
        <v>20</v>
      </c>
      <c r="G268" s="3">
        <v>1243.0007999999998</v>
      </c>
      <c r="H268" s="4">
        <v>75.299999999999983</v>
      </c>
      <c r="I268" s="4">
        <v>16.4128000000008</v>
      </c>
      <c r="J268" s="4">
        <v>8.2871999999992134</v>
      </c>
      <c r="K268" s="5">
        <v>1.4683320986830601</v>
      </c>
      <c r="L268" s="3">
        <v>0.43062697099175318</v>
      </c>
      <c r="M268" s="5">
        <v>0.23252696621885494</v>
      </c>
      <c r="N268" s="3">
        <v>2.0101833516685006</v>
      </c>
      <c r="O268" s="23" t="s">
        <v>52</v>
      </c>
    </row>
    <row r="269" spans="1:15" x14ac:dyDescent="0.25">
      <c r="A269" s="1" t="s">
        <v>21</v>
      </c>
      <c r="B269" s="2">
        <v>267</v>
      </c>
      <c r="C269" s="3">
        <v>340206.13</v>
      </c>
      <c r="D269" s="3">
        <v>6520056.9199999999</v>
      </c>
      <c r="E269" s="3" t="s">
        <v>19</v>
      </c>
      <c r="F269" s="2" t="s">
        <v>20</v>
      </c>
      <c r="G269" s="3">
        <v>2318.7408</v>
      </c>
      <c r="H269" s="4">
        <v>49.033333333333353</v>
      </c>
      <c r="I269" s="4">
        <v>24.655466666665944</v>
      </c>
      <c r="J269" s="4">
        <v>26.311200000000696</v>
      </c>
      <c r="K269" s="5">
        <v>1.1410297070535897</v>
      </c>
      <c r="L269" s="3">
        <v>0.53245527721582997</v>
      </c>
      <c r="M269" s="5">
        <v>0.18421265452302649</v>
      </c>
      <c r="N269" s="3">
        <v>3.2005376853474821</v>
      </c>
      <c r="O269" s="23" t="s">
        <v>53</v>
      </c>
    </row>
    <row r="270" spans="1:15" x14ac:dyDescent="0.25">
      <c r="A270" s="1" t="s">
        <v>21</v>
      </c>
      <c r="B270" s="2">
        <v>268</v>
      </c>
      <c r="C270" s="3">
        <v>339993.13</v>
      </c>
      <c r="D270" s="3">
        <v>6520200.9400000004</v>
      </c>
      <c r="E270" s="3" t="s">
        <v>19</v>
      </c>
      <c r="F270" s="2" t="s">
        <v>20</v>
      </c>
      <c r="G270" s="3">
        <v>2091.9</v>
      </c>
      <c r="H270" s="4">
        <v>60.566666666666663</v>
      </c>
      <c r="I270" s="4">
        <v>20.682133333333496</v>
      </c>
      <c r="J270" s="4">
        <v>18.751199999999841</v>
      </c>
      <c r="K270" s="5">
        <v>1.4239744188335601</v>
      </c>
      <c r="L270" s="3">
        <v>0.42580813924345051</v>
      </c>
      <c r="M270" s="5">
        <v>0.13210301297991919</v>
      </c>
      <c r="N270" s="3">
        <v>2.1223219655298862</v>
      </c>
      <c r="O270" s="23" t="s">
        <v>52</v>
      </c>
    </row>
    <row r="271" spans="1:15" ht="15.75" thickBot="1" x14ac:dyDescent="0.3">
      <c r="A271" s="7" t="s">
        <v>21</v>
      </c>
      <c r="B271" s="2">
        <v>269</v>
      </c>
      <c r="C271" s="9">
        <v>339780.13</v>
      </c>
      <c r="D271" s="9">
        <v>6520344.9500000002</v>
      </c>
      <c r="E271" s="3" t="s">
        <v>19</v>
      </c>
      <c r="F271" s="8" t="s">
        <v>20</v>
      </c>
      <c r="G271" s="9">
        <v>847.75920000000008</v>
      </c>
      <c r="H271" s="10">
        <v>59.6</v>
      </c>
      <c r="I271" s="10">
        <v>17.960799999999949</v>
      </c>
      <c r="J271" s="10">
        <v>22.439200000000056</v>
      </c>
      <c r="K271" s="11">
        <v>1.4814536113086978</v>
      </c>
      <c r="L271" s="9">
        <v>0.40880093684675345</v>
      </c>
      <c r="M271" s="11">
        <v>8.3240338928651028E-2</v>
      </c>
      <c r="N271" s="9">
        <v>2.4628910891089109</v>
      </c>
      <c r="O271" s="23" t="s">
        <v>52</v>
      </c>
    </row>
    <row r="272" spans="1:15" x14ac:dyDescent="0.25">
      <c r="A272" s="12" t="s">
        <v>22</v>
      </c>
      <c r="B272" s="2">
        <v>270</v>
      </c>
      <c r="C272" s="6">
        <v>359962.4</v>
      </c>
      <c r="D272" s="6">
        <v>6490368</v>
      </c>
      <c r="E272" s="3" t="s">
        <v>19</v>
      </c>
      <c r="F272" s="2" t="s">
        <v>20</v>
      </c>
      <c r="G272" s="3">
        <v>7.0992000000000006</v>
      </c>
      <c r="H272" s="13">
        <v>11.1</v>
      </c>
      <c r="I272" s="13">
        <v>17.600000000000001</v>
      </c>
      <c r="J272" s="13">
        <v>71.3</v>
      </c>
      <c r="K272" s="14">
        <v>1.5629999999999999</v>
      </c>
      <c r="L272" s="6">
        <v>0.43799999999999994</v>
      </c>
      <c r="M272" s="14">
        <v>9.0999999999999998E-2</v>
      </c>
      <c r="N272" s="6">
        <v>1.95</v>
      </c>
      <c r="O272" s="23" t="s">
        <v>52</v>
      </c>
    </row>
    <row r="273" spans="1:15" x14ac:dyDescent="0.25">
      <c r="A273" s="12" t="s">
        <v>22</v>
      </c>
      <c r="B273" s="2">
        <v>271</v>
      </c>
      <c r="C273" s="6">
        <v>359841</v>
      </c>
      <c r="D273" s="6">
        <v>6490460</v>
      </c>
      <c r="E273" s="3" t="s">
        <v>19</v>
      </c>
      <c r="F273" s="2" t="s">
        <v>20</v>
      </c>
      <c r="G273" s="3">
        <v>14.8992</v>
      </c>
      <c r="H273" s="13">
        <v>13.5</v>
      </c>
      <c r="I273" s="13">
        <v>17.399999999999999</v>
      </c>
      <c r="J273" s="13">
        <v>69.099999999999994</v>
      </c>
      <c r="K273" s="14">
        <v>1.577</v>
      </c>
      <c r="L273" s="6">
        <v>0.38200000000000001</v>
      </c>
      <c r="M273" s="14">
        <v>0.125</v>
      </c>
      <c r="N273" s="6">
        <v>2.13</v>
      </c>
      <c r="O273" s="23" t="s">
        <v>52</v>
      </c>
    </row>
    <row r="274" spans="1:15" x14ac:dyDescent="0.25">
      <c r="A274" s="12" t="s">
        <v>22</v>
      </c>
      <c r="B274" s="2">
        <v>272</v>
      </c>
      <c r="C274" s="6">
        <v>359719.5</v>
      </c>
      <c r="D274" s="6">
        <v>6490552</v>
      </c>
      <c r="E274" s="3" t="s">
        <v>19</v>
      </c>
      <c r="F274" s="2" t="s">
        <v>20</v>
      </c>
      <c r="G274" s="3">
        <v>19.0992</v>
      </c>
      <c r="H274" s="13">
        <v>12.9</v>
      </c>
      <c r="I274" s="13">
        <v>19.399999999999999</v>
      </c>
      <c r="J274" s="13">
        <v>67.7</v>
      </c>
      <c r="K274" s="14">
        <v>1.6240000000000001</v>
      </c>
      <c r="L274" s="6">
        <v>0.39299999999999996</v>
      </c>
      <c r="M274" s="14">
        <v>0.105</v>
      </c>
      <c r="N274" s="6">
        <v>2.09</v>
      </c>
      <c r="O274" s="23" t="s">
        <v>52</v>
      </c>
    </row>
    <row r="275" spans="1:15" x14ac:dyDescent="0.25">
      <c r="A275" s="12" t="s">
        <v>22</v>
      </c>
      <c r="B275" s="2">
        <v>273</v>
      </c>
      <c r="C275" s="14">
        <v>359598.1</v>
      </c>
      <c r="D275" s="14">
        <v>6490644</v>
      </c>
      <c r="E275" s="3" t="s">
        <v>19</v>
      </c>
      <c r="F275" s="2" t="s">
        <v>20</v>
      </c>
      <c r="G275" s="3">
        <v>7.3991999999999996</v>
      </c>
      <c r="H275" s="13">
        <v>13.8</v>
      </c>
      <c r="I275" s="13">
        <v>17.600000000000001</v>
      </c>
      <c r="J275" s="13">
        <v>68.599999999999994</v>
      </c>
      <c r="K275" s="14">
        <v>1.4119999999999999</v>
      </c>
      <c r="L275" s="6">
        <v>0.433</v>
      </c>
      <c r="M275" s="14">
        <v>9.3000000000000013E-2</v>
      </c>
      <c r="N275" s="6">
        <v>2.1</v>
      </c>
      <c r="O275" s="23" t="s">
        <v>52</v>
      </c>
    </row>
    <row r="276" spans="1:15" x14ac:dyDescent="0.25">
      <c r="A276" s="12" t="s">
        <v>22</v>
      </c>
      <c r="B276" s="2">
        <v>274</v>
      </c>
      <c r="C276" s="14">
        <v>359476.7</v>
      </c>
      <c r="D276" s="14">
        <v>6490736</v>
      </c>
      <c r="E276" s="3" t="s">
        <v>19</v>
      </c>
      <c r="F276" s="2" t="s">
        <v>20</v>
      </c>
      <c r="G276" s="3">
        <v>48.9</v>
      </c>
      <c r="H276" s="13">
        <v>10.6</v>
      </c>
      <c r="I276" s="13">
        <v>13.6</v>
      </c>
      <c r="J276" s="13">
        <v>75.8</v>
      </c>
      <c r="K276" s="14">
        <v>1.609</v>
      </c>
      <c r="L276" s="6">
        <v>0.39399999999999996</v>
      </c>
      <c r="M276" s="14">
        <v>0.13900000000000001</v>
      </c>
      <c r="N276" s="6">
        <v>2.0099999999999998</v>
      </c>
      <c r="O276" s="23" t="s">
        <v>52</v>
      </c>
    </row>
    <row r="277" spans="1:15" x14ac:dyDescent="0.25">
      <c r="A277" s="12" t="s">
        <v>22</v>
      </c>
      <c r="B277" s="2">
        <v>275</v>
      </c>
      <c r="C277" s="14">
        <v>359355.3</v>
      </c>
      <c r="D277" s="14">
        <v>6490828</v>
      </c>
      <c r="E277" s="3" t="s">
        <v>19</v>
      </c>
      <c r="F277" s="2" t="s">
        <v>20</v>
      </c>
      <c r="G277" s="3">
        <v>4.0992000000000006</v>
      </c>
      <c r="H277" s="13">
        <v>13.3</v>
      </c>
      <c r="I277" s="13">
        <v>19.5</v>
      </c>
      <c r="J277" s="13">
        <v>67.2</v>
      </c>
      <c r="K277" s="14">
        <v>1.631</v>
      </c>
      <c r="L277" s="6">
        <v>0.35100000000000003</v>
      </c>
      <c r="M277" s="14">
        <v>6.0999999999999999E-2</v>
      </c>
      <c r="N277" s="6">
        <v>2.0499999999999998</v>
      </c>
      <c r="O277" s="23" t="s">
        <v>52</v>
      </c>
    </row>
    <row r="278" spans="1:15" x14ac:dyDescent="0.25">
      <c r="A278" s="12" t="s">
        <v>22</v>
      </c>
      <c r="B278" s="2">
        <v>276</v>
      </c>
      <c r="C278" s="14">
        <v>359233.8</v>
      </c>
      <c r="D278" s="14">
        <v>6490920</v>
      </c>
      <c r="E278" s="3" t="s">
        <v>19</v>
      </c>
      <c r="F278" s="2" t="s">
        <v>20</v>
      </c>
      <c r="G278" s="3">
        <v>115.30080000000001</v>
      </c>
      <c r="H278" s="13">
        <v>19.100000000000001</v>
      </c>
      <c r="I278" s="13">
        <v>23.7</v>
      </c>
      <c r="J278" s="13">
        <v>57.2</v>
      </c>
      <c r="K278" s="14">
        <v>1.351</v>
      </c>
      <c r="L278" s="6">
        <v>0.45600000000000002</v>
      </c>
      <c r="M278" s="14">
        <v>0.16899999999999998</v>
      </c>
      <c r="N278" s="14">
        <v>2.4500000000000002</v>
      </c>
      <c r="O278" s="23" t="s">
        <v>53</v>
      </c>
    </row>
    <row r="279" spans="1:15" x14ac:dyDescent="0.25">
      <c r="A279" s="12" t="s">
        <v>22</v>
      </c>
      <c r="B279" s="2">
        <v>277</v>
      </c>
      <c r="C279" s="14">
        <v>359112.4</v>
      </c>
      <c r="D279" s="14">
        <v>6491012</v>
      </c>
      <c r="E279" s="3" t="s">
        <v>19</v>
      </c>
      <c r="F279" s="2" t="s">
        <v>20</v>
      </c>
      <c r="G279" s="3">
        <v>4.9992000000000001</v>
      </c>
      <c r="H279" s="13">
        <v>15.6</v>
      </c>
      <c r="I279" s="13">
        <v>21.9</v>
      </c>
      <c r="J279" s="13">
        <v>62.6</v>
      </c>
      <c r="K279" s="14">
        <v>1.6850000000000001</v>
      </c>
      <c r="L279" s="6">
        <v>0.34299999999999997</v>
      </c>
      <c r="M279" s="14">
        <v>0.03</v>
      </c>
      <c r="N279" s="14">
        <v>2.0499999999999998</v>
      </c>
      <c r="O279" s="23" t="s">
        <v>52</v>
      </c>
    </row>
    <row r="280" spans="1:15" x14ac:dyDescent="0.25">
      <c r="A280" s="12" t="s">
        <v>22</v>
      </c>
      <c r="B280" s="2">
        <v>278</v>
      </c>
      <c r="C280" s="14">
        <v>358991</v>
      </c>
      <c r="D280" s="14">
        <v>6491104</v>
      </c>
      <c r="E280" s="3" t="s">
        <v>19</v>
      </c>
      <c r="F280" s="2" t="s">
        <v>20</v>
      </c>
      <c r="G280" s="3">
        <v>24.900000000000002</v>
      </c>
      <c r="H280" s="13">
        <v>15.1</v>
      </c>
      <c r="I280" s="13">
        <v>18</v>
      </c>
      <c r="J280" s="13">
        <v>66.900000000000006</v>
      </c>
      <c r="K280" s="14">
        <v>1.5880000000000001</v>
      </c>
      <c r="L280" s="6">
        <v>0.36200000000000004</v>
      </c>
      <c r="M280" s="14">
        <v>0.11699999999999999</v>
      </c>
      <c r="N280" s="14">
        <v>1.98</v>
      </c>
      <c r="O280" s="23" t="s">
        <v>52</v>
      </c>
    </row>
    <row r="281" spans="1:15" x14ac:dyDescent="0.25">
      <c r="A281" s="12" t="s">
        <v>22</v>
      </c>
      <c r="B281" s="2">
        <v>279</v>
      </c>
      <c r="C281" s="14">
        <v>358869.6</v>
      </c>
      <c r="D281" s="14">
        <v>6491196</v>
      </c>
      <c r="E281" s="3" t="s">
        <v>19</v>
      </c>
      <c r="F281" s="2" t="s">
        <v>20</v>
      </c>
      <c r="G281" s="3">
        <v>0.6</v>
      </c>
      <c r="H281" s="13">
        <v>13.4</v>
      </c>
      <c r="I281" s="13">
        <v>23.6</v>
      </c>
      <c r="J281" s="13">
        <v>63</v>
      </c>
      <c r="K281" s="14">
        <v>1.679</v>
      </c>
      <c r="L281" s="6">
        <v>0.32899999999999996</v>
      </c>
      <c r="M281" s="14">
        <v>3.2000000000000001E-2</v>
      </c>
      <c r="N281" s="14">
        <v>1.89</v>
      </c>
      <c r="O281" s="23" t="s">
        <v>52</v>
      </c>
    </row>
    <row r="282" spans="1:15" x14ac:dyDescent="0.25">
      <c r="A282" s="12" t="s">
        <v>22</v>
      </c>
      <c r="B282" s="2">
        <v>280</v>
      </c>
      <c r="C282" s="14">
        <v>358748.1</v>
      </c>
      <c r="D282" s="14">
        <v>6491288</v>
      </c>
      <c r="E282" s="3" t="s">
        <v>19</v>
      </c>
      <c r="F282" s="2" t="s">
        <v>20</v>
      </c>
      <c r="G282" s="3">
        <v>22.2</v>
      </c>
      <c r="H282" s="13">
        <v>13.3</v>
      </c>
      <c r="I282" s="13">
        <v>15.7</v>
      </c>
      <c r="J282" s="13">
        <v>71</v>
      </c>
      <c r="K282" s="14">
        <v>1.63</v>
      </c>
      <c r="L282" s="6">
        <v>0.35200000000000004</v>
      </c>
      <c r="M282" s="14">
        <v>7.8E-2</v>
      </c>
      <c r="N282" s="14">
        <v>1.99</v>
      </c>
      <c r="O282" s="23" t="s">
        <v>52</v>
      </c>
    </row>
    <row r="283" spans="1:15" x14ac:dyDescent="0.25">
      <c r="A283" s="12" t="s">
        <v>22</v>
      </c>
      <c r="B283" s="2">
        <v>281</v>
      </c>
      <c r="C283" s="14">
        <v>358626.7</v>
      </c>
      <c r="D283" s="14">
        <v>6491380</v>
      </c>
      <c r="E283" s="3" t="s">
        <v>19</v>
      </c>
      <c r="F283" s="2" t="s">
        <v>20</v>
      </c>
      <c r="G283" s="3">
        <v>86.699999999999989</v>
      </c>
      <c r="H283" s="13">
        <v>9.8000000000000007</v>
      </c>
      <c r="I283" s="13">
        <v>15.9</v>
      </c>
      <c r="J283" s="13">
        <v>74.3</v>
      </c>
      <c r="K283" s="14">
        <v>1.5369999999999999</v>
      </c>
      <c r="L283" s="6">
        <v>0.38100000000000001</v>
      </c>
      <c r="M283" s="14">
        <v>0.14699999999999999</v>
      </c>
      <c r="N283" s="14">
        <v>1.98</v>
      </c>
      <c r="O283" s="23" t="s">
        <v>52</v>
      </c>
    </row>
    <row r="284" spans="1:15" x14ac:dyDescent="0.25">
      <c r="A284" s="12" t="s">
        <v>22</v>
      </c>
      <c r="B284" s="2">
        <v>282</v>
      </c>
      <c r="C284" s="14">
        <v>358505.3</v>
      </c>
      <c r="D284" s="14">
        <v>6491472</v>
      </c>
      <c r="E284" s="3" t="s">
        <v>19</v>
      </c>
      <c r="F284" s="2" t="s">
        <v>20</v>
      </c>
      <c r="G284" s="3">
        <v>45.6</v>
      </c>
      <c r="H284" s="13">
        <v>11.2</v>
      </c>
      <c r="I284" s="13">
        <v>16.100000000000001</v>
      </c>
      <c r="J284" s="13">
        <v>72.7</v>
      </c>
      <c r="K284" s="14">
        <v>1.5880000000000001</v>
      </c>
      <c r="L284" s="6">
        <v>0.37200000000000005</v>
      </c>
      <c r="M284" s="14">
        <v>0.13300000000000001</v>
      </c>
      <c r="N284" s="14">
        <v>2.06</v>
      </c>
      <c r="O284" s="23" t="s">
        <v>52</v>
      </c>
    </row>
    <row r="285" spans="1:15" x14ac:dyDescent="0.25">
      <c r="A285" s="12" t="s">
        <v>22</v>
      </c>
      <c r="B285" s="2">
        <v>283</v>
      </c>
      <c r="C285" s="14">
        <v>358383.9</v>
      </c>
      <c r="D285" s="14">
        <v>6491564</v>
      </c>
      <c r="E285" s="3" t="s">
        <v>19</v>
      </c>
      <c r="F285" s="2" t="s">
        <v>20</v>
      </c>
      <c r="G285" s="3">
        <v>4.6008000000000004</v>
      </c>
      <c r="H285" s="13">
        <v>14.7</v>
      </c>
      <c r="I285" s="13">
        <v>20.100000000000001</v>
      </c>
      <c r="J285" s="13">
        <v>65.099999999999994</v>
      </c>
      <c r="K285" s="14">
        <v>1.599</v>
      </c>
      <c r="L285" s="6">
        <v>0.35200000000000004</v>
      </c>
      <c r="M285" s="14">
        <v>5.0999999999999997E-2</v>
      </c>
      <c r="N285" s="14">
        <v>1.97</v>
      </c>
      <c r="O285" s="23" t="s">
        <v>52</v>
      </c>
    </row>
    <row r="286" spans="1:15" x14ac:dyDescent="0.25">
      <c r="A286" s="12" t="s">
        <v>22</v>
      </c>
      <c r="B286" s="2">
        <v>284</v>
      </c>
      <c r="C286" s="14">
        <v>358262.4</v>
      </c>
      <c r="D286" s="14">
        <v>6491656</v>
      </c>
      <c r="E286" s="3" t="s">
        <v>19</v>
      </c>
      <c r="F286" s="2" t="s">
        <v>20</v>
      </c>
      <c r="G286" s="3">
        <v>2.5991999999999997</v>
      </c>
      <c r="H286" s="13">
        <v>10.5</v>
      </c>
      <c r="I286" s="13">
        <v>17.8</v>
      </c>
      <c r="J286" s="13">
        <v>71.7</v>
      </c>
      <c r="K286" s="14">
        <v>1.5409999999999999</v>
      </c>
      <c r="L286" s="6">
        <v>0.40200000000000002</v>
      </c>
      <c r="M286" s="14">
        <v>6.5000000000000002E-2</v>
      </c>
      <c r="N286" s="14">
        <v>1.96</v>
      </c>
      <c r="O286" s="23" t="s">
        <v>52</v>
      </c>
    </row>
    <row r="287" spans="1:15" x14ac:dyDescent="0.25">
      <c r="A287" s="12" t="s">
        <v>22</v>
      </c>
      <c r="B287" s="2">
        <v>285</v>
      </c>
      <c r="C287" s="14">
        <v>358141</v>
      </c>
      <c r="D287" s="14">
        <v>6491748</v>
      </c>
      <c r="E287" s="3" t="s">
        <v>19</v>
      </c>
      <c r="F287" s="2" t="s">
        <v>20</v>
      </c>
      <c r="G287" s="3">
        <v>4.9008000000000003</v>
      </c>
      <c r="H287" s="13">
        <v>14.3</v>
      </c>
      <c r="I287" s="13">
        <v>19.100000000000001</v>
      </c>
      <c r="J287" s="13">
        <v>66.599999999999994</v>
      </c>
      <c r="K287" s="14">
        <v>1.5580000000000001</v>
      </c>
      <c r="L287" s="6">
        <v>0.40100000000000002</v>
      </c>
      <c r="M287" s="14">
        <v>3.5000000000000003E-2</v>
      </c>
      <c r="N287" s="14">
        <v>2.06</v>
      </c>
      <c r="O287" s="23" t="s">
        <v>52</v>
      </c>
    </row>
    <row r="288" spans="1:15" x14ac:dyDescent="0.25">
      <c r="A288" s="12" t="s">
        <v>22</v>
      </c>
      <c r="B288" s="2">
        <v>286</v>
      </c>
      <c r="C288" s="14">
        <v>358019.6</v>
      </c>
      <c r="D288" s="14">
        <v>6491840</v>
      </c>
      <c r="E288" s="3" t="s">
        <v>19</v>
      </c>
      <c r="F288" s="2" t="s">
        <v>20</v>
      </c>
      <c r="G288" s="3">
        <v>5.7</v>
      </c>
      <c r="H288" s="13">
        <v>14</v>
      </c>
      <c r="I288" s="13">
        <v>16.600000000000001</v>
      </c>
      <c r="J288" s="13">
        <v>69.400000000000006</v>
      </c>
      <c r="K288" s="14">
        <v>1.62</v>
      </c>
      <c r="L288" s="6">
        <v>0.376</v>
      </c>
      <c r="M288" s="14">
        <v>4.4999999999999998E-2</v>
      </c>
      <c r="N288" s="14">
        <v>2.04</v>
      </c>
      <c r="O288" s="23" t="s">
        <v>52</v>
      </c>
    </row>
    <row r="289" spans="1:15" x14ac:dyDescent="0.25">
      <c r="A289" s="12" t="s">
        <v>22</v>
      </c>
      <c r="B289" s="2">
        <v>287</v>
      </c>
      <c r="C289" s="14">
        <v>357898.2</v>
      </c>
      <c r="D289" s="14">
        <v>6491932</v>
      </c>
      <c r="E289" s="3" t="s">
        <v>19</v>
      </c>
      <c r="F289" s="2" t="s">
        <v>20</v>
      </c>
      <c r="G289" s="3">
        <v>1.0007999999999999</v>
      </c>
      <c r="H289" s="13">
        <v>12.4</v>
      </c>
      <c r="I289" s="13">
        <v>27.1</v>
      </c>
      <c r="J289" s="13">
        <v>60.5</v>
      </c>
      <c r="K289" s="14">
        <v>1.498</v>
      </c>
      <c r="L289" s="6">
        <v>0.45500000000000002</v>
      </c>
      <c r="M289" s="14">
        <v>4.9000000000000002E-2</v>
      </c>
      <c r="N289" s="14">
        <v>2.06</v>
      </c>
      <c r="O289" s="23" t="s">
        <v>52</v>
      </c>
    </row>
    <row r="290" spans="1:15" x14ac:dyDescent="0.25">
      <c r="A290" s="12" t="s">
        <v>22</v>
      </c>
      <c r="B290" s="2">
        <v>288</v>
      </c>
      <c r="C290" s="14">
        <v>357776.7</v>
      </c>
      <c r="D290" s="14">
        <v>6492024</v>
      </c>
      <c r="E290" s="3" t="s">
        <v>19</v>
      </c>
      <c r="F290" s="2" t="s">
        <v>20</v>
      </c>
      <c r="G290" s="3">
        <v>56.1</v>
      </c>
      <c r="H290" s="13">
        <v>11.3</v>
      </c>
      <c r="I290" s="13">
        <v>19.5</v>
      </c>
      <c r="J290" s="13">
        <v>69.2</v>
      </c>
      <c r="K290" s="14">
        <v>1.5580000000000001</v>
      </c>
      <c r="L290" s="6">
        <v>0.38100000000000001</v>
      </c>
      <c r="M290" s="14">
        <v>0.13100000000000001</v>
      </c>
      <c r="N290" s="14">
        <v>1.99</v>
      </c>
      <c r="O290" s="23" t="s">
        <v>52</v>
      </c>
    </row>
    <row r="291" spans="1:15" x14ac:dyDescent="0.25">
      <c r="A291" s="12" t="s">
        <v>22</v>
      </c>
      <c r="B291" s="2">
        <v>289</v>
      </c>
      <c r="C291" s="14">
        <v>357655.3</v>
      </c>
      <c r="D291" s="14">
        <v>6492116</v>
      </c>
      <c r="E291" s="3" t="s">
        <v>19</v>
      </c>
      <c r="F291" s="2" t="s">
        <v>20</v>
      </c>
      <c r="G291" s="3">
        <v>3.7008000000000001</v>
      </c>
      <c r="H291" s="13">
        <v>19.600000000000001</v>
      </c>
      <c r="I291" s="13">
        <v>33.1</v>
      </c>
      <c r="J291" s="13">
        <v>47.3</v>
      </c>
      <c r="K291" s="14">
        <v>1.502</v>
      </c>
      <c r="L291" s="6">
        <v>0.45</v>
      </c>
      <c r="M291" s="14">
        <v>4.7E-2</v>
      </c>
      <c r="N291" s="14">
        <v>2.4900000000000002</v>
      </c>
      <c r="O291" s="23" t="s">
        <v>52</v>
      </c>
    </row>
    <row r="292" spans="1:15" x14ac:dyDescent="0.25">
      <c r="A292" s="12" t="s">
        <v>22</v>
      </c>
      <c r="B292" s="2">
        <v>290</v>
      </c>
      <c r="C292" s="14">
        <v>357533.9</v>
      </c>
      <c r="D292" s="14">
        <v>6492208</v>
      </c>
      <c r="E292" s="3" t="s">
        <v>19</v>
      </c>
      <c r="F292" s="2" t="s">
        <v>20</v>
      </c>
      <c r="G292" s="3">
        <v>17.100000000000001</v>
      </c>
      <c r="H292" s="13">
        <v>11.9</v>
      </c>
      <c r="I292" s="13">
        <v>14</v>
      </c>
      <c r="J292" s="13">
        <v>74.099999999999994</v>
      </c>
      <c r="K292" s="14">
        <v>1.651</v>
      </c>
      <c r="L292" s="6">
        <v>0.33799999999999997</v>
      </c>
      <c r="M292" s="14">
        <v>0.10300000000000001</v>
      </c>
      <c r="N292" s="14">
        <v>1.98</v>
      </c>
      <c r="O292" s="23" t="s">
        <v>52</v>
      </c>
    </row>
    <row r="293" spans="1:15" x14ac:dyDescent="0.25">
      <c r="A293" s="12" t="s">
        <v>22</v>
      </c>
      <c r="B293" s="2">
        <v>291</v>
      </c>
      <c r="C293" s="14">
        <v>357412.5</v>
      </c>
      <c r="D293" s="14">
        <v>6492300</v>
      </c>
      <c r="E293" s="3" t="s">
        <v>19</v>
      </c>
      <c r="F293" s="2" t="s">
        <v>20</v>
      </c>
      <c r="G293" s="3">
        <v>20.800799999999999</v>
      </c>
      <c r="H293" s="13">
        <v>15.5</v>
      </c>
      <c r="I293" s="13">
        <v>11.8</v>
      </c>
      <c r="J293" s="13">
        <v>72.7</v>
      </c>
      <c r="K293" s="14">
        <v>1.5920000000000001</v>
      </c>
      <c r="L293" s="6">
        <v>0.36899999999999999</v>
      </c>
      <c r="M293" s="14">
        <v>9.1999999999999998E-2</v>
      </c>
      <c r="N293" s="14">
        <v>2.09</v>
      </c>
      <c r="O293" s="23" t="s">
        <v>52</v>
      </c>
    </row>
    <row r="294" spans="1:15" x14ac:dyDescent="0.25">
      <c r="A294" s="12" t="s">
        <v>22</v>
      </c>
      <c r="B294" s="2">
        <v>292</v>
      </c>
      <c r="C294" s="14">
        <v>357291</v>
      </c>
      <c r="D294" s="14">
        <v>6492392</v>
      </c>
      <c r="E294" s="3" t="s">
        <v>19</v>
      </c>
      <c r="F294" s="2" t="s">
        <v>20</v>
      </c>
      <c r="G294" s="3">
        <v>5.3999999999999995</v>
      </c>
      <c r="H294" s="13">
        <v>15.6</v>
      </c>
      <c r="I294" s="13">
        <v>18.5</v>
      </c>
      <c r="J294" s="13">
        <v>65.900000000000006</v>
      </c>
      <c r="K294" s="14">
        <v>1.5680000000000001</v>
      </c>
      <c r="L294" s="6">
        <v>0.36799999999999999</v>
      </c>
      <c r="M294" s="14">
        <v>4.4999999999999998E-2</v>
      </c>
      <c r="N294" s="14">
        <v>2.2599999999999998</v>
      </c>
      <c r="O294" s="23" t="s">
        <v>52</v>
      </c>
    </row>
    <row r="295" spans="1:15" x14ac:dyDescent="0.25">
      <c r="A295" s="12" t="s">
        <v>22</v>
      </c>
      <c r="B295" s="2">
        <v>293</v>
      </c>
      <c r="C295" s="14">
        <v>357169.6</v>
      </c>
      <c r="D295" s="14">
        <v>6492484</v>
      </c>
      <c r="E295" s="3" t="s">
        <v>19</v>
      </c>
      <c r="F295" s="2" t="s">
        <v>20</v>
      </c>
      <c r="G295" s="3">
        <v>6.7991999999999999</v>
      </c>
      <c r="H295" s="13">
        <v>12.5</v>
      </c>
      <c r="I295" s="13">
        <v>21.4</v>
      </c>
      <c r="J295" s="13">
        <v>66.099999999999994</v>
      </c>
      <c r="K295" s="14">
        <v>1.5049999999999999</v>
      </c>
      <c r="L295" s="6">
        <v>0.38500000000000001</v>
      </c>
      <c r="M295" s="14">
        <v>3.7999999999999999E-2</v>
      </c>
      <c r="N295" s="14">
        <v>2.1800000000000002</v>
      </c>
      <c r="O295" s="23" t="s">
        <v>52</v>
      </c>
    </row>
    <row r="296" spans="1:15" x14ac:dyDescent="0.25">
      <c r="A296" s="12" t="s">
        <v>22</v>
      </c>
      <c r="B296" s="2">
        <v>294</v>
      </c>
      <c r="C296" s="14">
        <v>357048.2</v>
      </c>
      <c r="D296" s="14">
        <v>6492576</v>
      </c>
      <c r="E296" s="3" t="s">
        <v>19</v>
      </c>
      <c r="F296" s="2" t="s">
        <v>20</v>
      </c>
      <c r="G296" s="3">
        <v>0.79920000000000002</v>
      </c>
      <c r="H296" s="13">
        <v>14.6</v>
      </c>
      <c r="I296" s="13">
        <v>25.5</v>
      </c>
      <c r="J296" s="13">
        <v>59.9</v>
      </c>
      <c r="K296" s="14">
        <v>1.5760000000000001</v>
      </c>
      <c r="L296" s="6">
        <v>0.38500000000000001</v>
      </c>
      <c r="M296" s="14">
        <v>2.8999999999999998E-2</v>
      </c>
      <c r="N296" s="14">
        <v>2.21</v>
      </c>
      <c r="O296" s="23" t="s">
        <v>52</v>
      </c>
    </row>
    <row r="297" spans="1:15" x14ac:dyDescent="0.25">
      <c r="A297" s="12" t="s">
        <v>22</v>
      </c>
      <c r="B297" s="2">
        <v>295</v>
      </c>
      <c r="C297" s="14">
        <v>356926.8</v>
      </c>
      <c r="D297" s="14">
        <v>6492668</v>
      </c>
      <c r="E297" s="3" t="s">
        <v>19</v>
      </c>
      <c r="F297" s="2" t="s">
        <v>20</v>
      </c>
      <c r="G297" s="3">
        <v>60</v>
      </c>
      <c r="H297" s="13">
        <v>15</v>
      </c>
      <c r="I297" s="13">
        <v>19</v>
      </c>
      <c r="J297" s="13">
        <v>66</v>
      </c>
      <c r="K297" s="14">
        <v>1.5009999999999999</v>
      </c>
      <c r="L297" s="6">
        <v>0.40700000000000003</v>
      </c>
      <c r="M297" s="14">
        <v>0.14199999999999999</v>
      </c>
      <c r="N297" s="14">
        <v>2.68</v>
      </c>
      <c r="O297" s="23" t="s">
        <v>52</v>
      </c>
    </row>
    <row r="298" spans="1:15" x14ac:dyDescent="0.25">
      <c r="A298" s="12" t="s">
        <v>22</v>
      </c>
      <c r="B298" s="2">
        <v>296</v>
      </c>
      <c r="C298" s="14">
        <v>356805.4</v>
      </c>
      <c r="D298" s="14">
        <v>6492760</v>
      </c>
      <c r="E298" s="3" t="s">
        <v>19</v>
      </c>
      <c r="F298" s="2" t="s">
        <v>20</v>
      </c>
      <c r="G298" s="3">
        <v>34.200000000000003</v>
      </c>
      <c r="H298" s="13">
        <v>11.6</v>
      </c>
      <c r="I298" s="13">
        <v>24.5</v>
      </c>
      <c r="J298" s="13">
        <v>63.8</v>
      </c>
      <c r="K298" s="14">
        <v>1.56</v>
      </c>
      <c r="L298" s="6">
        <v>0.4</v>
      </c>
      <c r="M298" s="14">
        <v>0.13300000000000001</v>
      </c>
      <c r="N298" s="14">
        <v>2.14</v>
      </c>
      <c r="O298" s="23" t="s">
        <v>54</v>
      </c>
    </row>
    <row r="299" spans="1:15" x14ac:dyDescent="0.25">
      <c r="A299" s="12" t="s">
        <v>22</v>
      </c>
      <c r="B299" s="2">
        <v>297</v>
      </c>
      <c r="C299" s="14">
        <v>356683.9</v>
      </c>
      <c r="D299" s="14">
        <v>6492852</v>
      </c>
      <c r="E299" s="3" t="s">
        <v>19</v>
      </c>
      <c r="F299" s="2" t="s">
        <v>20</v>
      </c>
      <c r="G299" s="3">
        <v>68.299199999999999</v>
      </c>
      <c r="H299" s="13">
        <v>12.4</v>
      </c>
      <c r="I299" s="13">
        <v>15</v>
      </c>
      <c r="J299" s="13">
        <v>72.599999999999994</v>
      </c>
      <c r="K299" s="14">
        <v>1.5209999999999999</v>
      </c>
      <c r="L299" s="6">
        <v>0.436</v>
      </c>
      <c r="M299" s="14">
        <v>0.13600000000000001</v>
      </c>
      <c r="N299" s="14">
        <v>2.25</v>
      </c>
      <c r="O299" s="23" t="s">
        <v>52</v>
      </c>
    </row>
    <row r="300" spans="1:15" x14ac:dyDescent="0.25">
      <c r="A300" s="12" t="s">
        <v>22</v>
      </c>
      <c r="B300" s="2">
        <v>298</v>
      </c>
      <c r="C300" s="14">
        <v>356562.5</v>
      </c>
      <c r="D300" s="14">
        <v>6492944</v>
      </c>
      <c r="E300" s="3" t="s">
        <v>19</v>
      </c>
      <c r="F300" s="2" t="s">
        <v>20</v>
      </c>
      <c r="G300" s="3">
        <v>13.300800000000001</v>
      </c>
      <c r="H300" s="13">
        <v>12.5</v>
      </c>
      <c r="I300" s="13">
        <v>17</v>
      </c>
      <c r="J300" s="13">
        <v>70.5</v>
      </c>
      <c r="K300" s="14">
        <v>1.4410000000000001</v>
      </c>
      <c r="L300" s="6">
        <v>0.42799999999999999</v>
      </c>
      <c r="M300" s="14">
        <v>0.11199999999999999</v>
      </c>
      <c r="N300" s="14">
        <v>2.29</v>
      </c>
      <c r="O300" s="23" t="s">
        <v>52</v>
      </c>
    </row>
    <row r="301" spans="1:15" x14ac:dyDescent="0.25">
      <c r="A301" s="12" t="s">
        <v>22</v>
      </c>
      <c r="B301" s="2">
        <v>299</v>
      </c>
      <c r="C301" s="14">
        <v>356441.1</v>
      </c>
      <c r="D301" s="14">
        <v>6493036</v>
      </c>
      <c r="E301" s="3" t="s">
        <v>19</v>
      </c>
      <c r="F301" s="2" t="s">
        <v>20</v>
      </c>
      <c r="G301" s="3">
        <v>4.8</v>
      </c>
      <c r="H301" s="13">
        <v>14.2</v>
      </c>
      <c r="I301" s="13">
        <v>32.799999999999997</v>
      </c>
      <c r="J301" s="13">
        <v>53</v>
      </c>
      <c r="K301" s="14">
        <v>1.5369999999999999</v>
      </c>
      <c r="L301" s="6">
        <v>0.433</v>
      </c>
      <c r="M301" s="14">
        <v>8.5999999999999993E-2</v>
      </c>
      <c r="N301" s="14">
        <v>2.29</v>
      </c>
      <c r="O301" s="23" t="s">
        <v>52</v>
      </c>
    </row>
    <row r="302" spans="1:15" x14ac:dyDescent="0.25">
      <c r="A302" s="12" t="s">
        <v>22</v>
      </c>
      <c r="B302" s="2">
        <v>300</v>
      </c>
      <c r="C302" s="14">
        <v>356319.7</v>
      </c>
      <c r="D302" s="14">
        <v>6493128</v>
      </c>
      <c r="E302" s="3" t="s">
        <v>19</v>
      </c>
      <c r="F302" s="2" t="s">
        <v>20</v>
      </c>
      <c r="G302" s="3">
        <v>43.8</v>
      </c>
      <c r="H302" s="13">
        <v>14</v>
      </c>
      <c r="I302" s="13">
        <v>21.7</v>
      </c>
      <c r="J302" s="13">
        <v>64.3</v>
      </c>
      <c r="K302" s="14">
        <v>1.5820000000000001</v>
      </c>
      <c r="L302" s="6">
        <v>0.39799999999999996</v>
      </c>
      <c r="M302" s="14">
        <v>0.10400000000000001</v>
      </c>
      <c r="N302" s="14">
        <v>2.04</v>
      </c>
      <c r="O302" s="23" t="s">
        <v>52</v>
      </c>
    </row>
    <row r="303" spans="1:15" x14ac:dyDescent="0.25">
      <c r="A303" s="12" t="s">
        <v>22</v>
      </c>
      <c r="B303" s="2">
        <v>301</v>
      </c>
      <c r="C303" s="14">
        <v>356198.2</v>
      </c>
      <c r="D303" s="14">
        <v>6493220</v>
      </c>
      <c r="E303" s="3" t="s">
        <v>19</v>
      </c>
      <c r="F303" s="2" t="s">
        <v>20</v>
      </c>
      <c r="G303" s="3">
        <v>142.9992</v>
      </c>
      <c r="H303" s="13">
        <v>13.6</v>
      </c>
      <c r="I303" s="13">
        <v>24.2</v>
      </c>
      <c r="J303" s="13">
        <v>62.2</v>
      </c>
      <c r="K303" s="14">
        <v>1.1160000000000001</v>
      </c>
      <c r="L303" s="6">
        <v>0.57399999999999995</v>
      </c>
      <c r="M303" s="14">
        <v>0.22600000000000001</v>
      </c>
      <c r="N303" s="14">
        <v>2.29</v>
      </c>
      <c r="O303" s="23" t="s">
        <v>52</v>
      </c>
    </row>
    <row r="304" spans="1:15" x14ac:dyDescent="0.25">
      <c r="A304" s="12" t="s">
        <v>22</v>
      </c>
      <c r="B304" s="2">
        <v>302</v>
      </c>
      <c r="C304" s="6">
        <v>356076.79999999999</v>
      </c>
      <c r="D304" s="6">
        <v>6493312</v>
      </c>
      <c r="E304" s="3" t="s">
        <v>19</v>
      </c>
      <c r="F304" s="2" t="s">
        <v>20</v>
      </c>
      <c r="G304" s="3">
        <v>6.1991999999999994</v>
      </c>
      <c r="H304" s="15">
        <v>13.3</v>
      </c>
      <c r="I304" s="15">
        <v>30.3</v>
      </c>
      <c r="J304" s="15">
        <v>56.4</v>
      </c>
      <c r="K304" s="6">
        <v>1.2529999999999999</v>
      </c>
      <c r="L304" s="6">
        <v>0.38400000000000001</v>
      </c>
      <c r="M304" s="6">
        <v>0.10300000000000001</v>
      </c>
      <c r="N304" s="6">
        <v>2.56</v>
      </c>
      <c r="O304" s="23" t="s">
        <v>54</v>
      </c>
    </row>
    <row r="305" spans="1:15" x14ac:dyDescent="0.25">
      <c r="A305" s="12" t="s">
        <v>22</v>
      </c>
      <c r="B305" s="2">
        <v>303</v>
      </c>
      <c r="C305" s="6">
        <v>355955.4</v>
      </c>
      <c r="D305" s="6">
        <v>6493404</v>
      </c>
      <c r="E305" s="3" t="s">
        <v>19</v>
      </c>
      <c r="F305" s="2" t="s">
        <v>20</v>
      </c>
      <c r="G305" s="3">
        <v>115.0992</v>
      </c>
      <c r="H305" s="15">
        <v>14.5</v>
      </c>
      <c r="I305" s="15">
        <v>24.2</v>
      </c>
      <c r="J305" s="15">
        <v>61.4</v>
      </c>
      <c r="K305" s="6">
        <v>1.363</v>
      </c>
      <c r="L305" s="6">
        <v>0.50700000000000001</v>
      </c>
      <c r="M305" s="6">
        <v>0.184</v>
      </c>
      <c r="N305" s="6">
        <v>2.54</v>
      </c>
      <c r="O305" s="23" t="s">
        <v>56</v>
      </c>
    </row>
    <row r="306" spans="1:15" x14ac:dyDescent="0.25">
      <c r="A306" s="12" t="s">
        <v>22</v>
      </c>
      <c r="B306" s="2">
        <v>304</v>
      </c>
      <c r="C306" s="6">
        <v>355834</v>
      </c>
      <c r="D306" s="6">
        <v>6493496</v>
      </c>
      <c r="E306" s="3" t="s">
        <v>19</v>
      </c>
      <c r="F306" s="2" t="s">
        <v>20</v>
      </c>
      <c r="G306" s="3">
        <v>44.699999999999996</v>
      </c>
      <c r="H306" s="15">
        <v>10.8</v>
      </c>
      <c r="I306" s="15">
        <v>18.3</v>
      </c>
      <c r="J306" s="15">
        <v>71</v>
      </c>
      <c r="K306" s="6">
        <v>1.51</v>
      </c>
      <c r="L306" s="6">
        <v>0.40899999999999997</v>
      </c>
      <c r="M306" s="6">
        <v>0.13100000000000001</v>
      </c>
      <c r="N306" s="6">
        <v>2.2200000000000002</v>
      </c>
      <c r="O306" s="23" t="s">
        <v>52</v>
      </c>
    </row>
    <row r="307" spans="1:15" x14ac:dyDescent="0.25">
      <c r="A307" s="12" t="s">
        <v>22</v>
      </c>
      <c r="B307" s="2">
        <v>305</v>
      </c>
      <c r="C307" s="6">
        <v>355712.5</v>
      </c>
      <c r="D307" s="6">
        <v>6493588</v>
      </c>
      <c r="E307" s="3" t="s">
        <v>19</v>
      </c>
      <c r="F307" s="2" t="s">
        <v>20</v>
      </c>
      <c r="G307" s="3">
        <v>150.79920000000001</v>
      </c>
      <c r="H307" s="15">
        <v>17.2</v>
      </c>
      <c r="I307" s="15">
        <v>25</v>
      </c>
      <c r="J307" s="15">
        <v>57.8</v>
      </c>
      <c r="K307" s="6">
        <v>1.3109999999999999</v>
      </c>
      <c r="L307" s="6">
        <v>0.48399999999999999</v>
      </c>
      <c r="M307" s="6">
        <v>0.14400000000000002</v>
      </c>
      <c r="N307" s="6">
        <v>2.25</v>
      </c>
      <c r="O307" s="23" t="s">
        <v>53</v>
      </c>
    </row>
    <row r="308" spans="1:15" x14ac:dyDescent="0.25">
      <c r="A308" s="12" t="s">
        <v>22</v>
      </c>
      <c r="B308" s="2">
        <v>306</v>
      </c>
      <c r="C308" s="6">
        <v>355591.1</v>
      </c>
      <c r="D308" s="6">
        <v>6493680</v>
      </c>
      <c r="E308" s="3" t="s">
        <v>19</v>
      </c>
      <c r="F308" s="2" t="s">
        <v>20</v>
      </c>
      <c r="G308" s="3">
        <v>144.29999999999998</v>
      </c>
      <c r="H308" s="15">
        <v>11.5</v>
      </c>
      <c r="I308" s="15">
        <v>13</v>
      </c>
      <c r="J308" s="15">
        <v>75.599999999999994</v>
      </c>
      <c r="K308" s="6">
        <v>1.5029999999999999</v>
      </c>
      <c r="L308" s="6">
        <v>0.439</v>
      </c>
      <c r="M308" s="6">
        <v>0.21199999999999999</v>
      </c>
      <c r="N308" s="6">
        <v>2.12</v>
      </c>
      <c r="O308" s="23" t="s">
        <v>52</v>
      </c>
    </row>
    <row r="309" spans="1:15" x14ac:dyDescent="0.25">
      <c r="A309" s="12" t="s">
        <v>22</v>
      </c>
      <c r="B309" s="2">
        <v>307</v>
      </c>
      <c r="C309" s="6">
        <v>355469.7</v>
      </c>
      <c r="D309" s="6">
        <v>6493772</v>
      </c>
      <c r="E309" s="3" t="s">
        <v>19</v>
      </c>
      <c r="F309" s="2" t="s">
        <v>20</v>
      </c>
      <c r="G309" s="3">
        <v>23.8992</v>
      </c>
      <c r="H309" s="15">
        <v>13.4</v>
      </c>
      <c r="I309" s="15">
        <v>17.399999999999999</v>
      </c>
      <c r="J309" s="15">
        <v>69.2</v>
      </c>
      <c r="K309" s="6">
        <v>1.46</v>
      </c>
      <c r="L309" s="6">
        <v>0.44400000000000001</v>
      </c>
      <c r="M309" s="6">
        <v>0.10199999999999999</v>
      </c>
      <c r="N309" s="6">
        <v>2.33</v>
      </c>
      <c r="O309" s="23" t="s">
        <v>52</v>
      </c>
    </row>
    <row r="310" spans="1:15" x14ac:dyDescent="0.25">
      <c r="A310" s="12" t="s">
        <v>22</v>
      </c>
      <c r="B310" s="2">
        <v>308</v>
      </c>
      <c r="C310" s="6">
        <v>355348.3</v>
      </c>
      <c r="D310" s="6">
        <v>6493864</v>
      </c>
      <c r="E310" s="3" t="s">
        <v>19</v>
      </c>
      <c r="F310" s="2" t="s">
        <v>20</v>
      </c>
      <c r="G310" s="3">
        <v>54.6</v>
      </c>
      <c r="H310" s="15">
        <v>18.7</v>
      </c>
      <c r="I310" s="15">
        <v>40.1</v>
      </c>
      <c r="J310" s="15">
        <v>41.2</v>
      </c>
      <c r="K310" s="6">
        <v>1.2010000000000001</v>
      </c>
      <c r="L310" s="6">
        <v>0.53799999999999992</v>
      </c>
      <c r="M310" s="6">
        <v>0.06</v>
      </c>
      <c r="N310" s="6">
        <v>2.56</v>
      </c>
      <c r="O310" s="23" t="s">
        <v>52</v>
      </c>
    </row>
    <row r="311" spans="1:15" x14ac:dyDescent="0.25">
      <c r="A311" s="12" t="s">
        <v>22</v>
      </c>
      <c r="B311" s="2">
        <v>309</v>
      </c>
      <c r="C311" s="6">
        <v>355226.8</v>
      </c>
      <c r="D311" s="6">
        <v>6493956</v>
      </c>
      <c r="E311" s="3" t="s">
        <v>19</v>
      </c>
      <c r="F311" s="2" t="s">
        <v>20</v>
      </c>
      <c r="G311" s="3">
        <v>132.70080000000002</v>
      </c>
      <c r="H311" s="15">
        <v>14.3</v>
      </c>
      <c r="I311" s="15">
        <v>21</v>
      </c>
      <c r="J311" s="15">
        <v>64.7</v>
      </c>
      <c r="K311" s="6">
        <v>1.5760000000000001</v>
      </c>
      <c r="L311" s="6">
        <v>0.39200000000000002</v>
      </c>
      <c r="M311" s="6">
        <v>0.1</v>
      </c>
      <c r="N311" s="6">
        <v>2.1800000000000002</v>
      </c>
      <c r="O311" s="23" t="s">
        <v>52</v>
      </c>
    </row>
    <row r="312" spans="1:15" x14ac:dyDescent="0.25">
      <c r="A312" s="12" t="s">
        <v>22</v>
      </c>
      <c r="B312" s="2">
        <v>310</v>
      </c>
      <c r="C312" s="6">
        <v>355105.4</v>
      </c>
      <c r="D312" s="6">
        <v>6494048</v>
      </c>
      <c r="E312" s="3" t="s">
        <v>19</v>
      </c>
      <c r="F312" s="2" t="s">
        <v>20</v>
      </c>
      <c r="G312" s="3">
        <v>160.80000000000001</v>
      </c>
      <c r="H312" s="15">
        <v>24.1</v>
      </c>
      <c r="I312" s="15">
        <v>16.600000000000001</v>
      </c>
      <c r="J312" s="15">
        <v>59.3</v>
      </c>
      <c r="K312" s="6">
        <v>1.4259999999999999</v>
      </c>
      <c r="L312" s="6">
        <v>0.45399999999999996</v>
      </c>
      <c r="M312" s="6">
        <v>0.161</v>
      </c>
      <c r="N312" s="6">
        <v>2.2200000000000002</v>
      </c>
      <c r="O312" s="23" t="s">
        <v>55</v>
      </c>
    </row>
    <row r="313" spans="1:15" x14ac:dyDescent="0.25">
      <c r="A313" s="12" t="s">
        <v>22</v>
      </c>
      <c r="B313" s="2">
        <v>311</v>
      </c>
      <c r="C313" s="6">
        <v>354984</v>
      </c>
      <c r="D313" s="6">
        <v>6494140</v>
      </c>
      <c r="E313" s="3" t="s">
        <v>19</v>
      </c>
      <c r="F313" s="2" t="s">
        <v>20</v>
      </c>
      <c r="G313" s="3">
        <v>191.89920000000001</v>
      </c>
      <c r="H313" s="15">
        <v>15.5</v>
      </c>
      <c r="I313" s="15">
        <v>21.7</v>
      </c>
      <c r="J313" s="15">
        <v>62.8</v>
      </c>
      <c r="K313" s="6">
        <v>1.3480000000000001</v>
      </c>
      <c r="L313" s="6">
        <v>0.51300000000000001</v>
      </c>
      <c r="M313" s="6">
        <v>0.222</v>
      </c>
      <c r="N313" s="6">
        <v>2.23</v>
      </c>
      <c r="O313" s="23" t="s">
        <v>53</v>
      </c>
    </row>
    <row r="314" spans="1:15" x14ac:dyDescent="0.25">
      <c r="A314" s="12" t="s">
        <v>22</v>
      </c>
      <c r="B314" s="2">
        <v>312</v>
      </c>
      <c r="C314" s="6">
        <v>354862.6</v>
      </c>
      <c r="D314" s="6">
        <v>6494232</v>
      </c>
      <c r="E314" s="3" t="s">
        <v>19</v>
      </c>
      <c r="F314" s="2" t="s">
        <v>20</v>
      </c>
      <c r="G314" s="3">
        <v>199.69920000000002</v>
      </c>
      <c r="H314" s="15">
        <v>39.1</v>
      </c>
      <c r="I314" s="15">
        <v>14.4</v>
      </c>
      <c r="J314" s="15">
        <v>46.5</v>
      </c>
      <c r="K314" s="6">
        <v>1.4490000000000001</v>
      </c>
      <c r="L314" s="6">
        <v>0.435</v>
      </c>
      <c r="M314" s="6">
        <v>0.122</v>
      </c>
      <c r="N314" s="6">
        <v>2.4</v>
      </c>
      <c r="O314" s="23" t="s">
        <v>52</v>
      </c>
    </row>
    <row r="315" spans="1:15" x14ac:dyDescent="0.25">
      <c r="A315" s="12" t="s">
        <v>22</v>
      </c>
      <c r="B315" s="2">
        <v>313</v>
      </c>
      <c r="C315" s="6">
        <v>354741.1</v>
      </c>
      <c r="D315" s="6">
        <v>6494324</v>
      </c>
      <c r="E315" s="3" t="s">
        <v>19</v>
      </c>
      <c r="F315" s="2" t="s">
        <v>20</v>
      </c>
      <c r="G315" s="3">
        <v>46.3992</v>
      </c>
      <c r="H315" s="15">
        <v>11.4</v>
      </c>
      <c r="I315" s="15">
        <v>13.7</v>
      </c>
      <c r="J315" s="15">
        <v>74.900000000000006</v>
      </c>
      <c r="K315" s="6">
        <v>1.641</v>
      </c>
      <c r="L315" s="6">
        <v>0.38900000000000001</v>
      </c>
      <c r="M315" s="6">
        <v>0.13200000000000001</v>
      </c>
      <c r="N315" s="6">
        <v>2.02</v>
      </c>
      <c r="O315" s="23" t="s">
        <v>52</v>
      </c>
    </row>
    <row r="316" spans="1:15" x14ac:dyDescent="0.25">
      <c r="A316" s="12" t="s">
        <v>22</v>
      </c>
      <c r="B316" s="2">
        <v>314</v>
      </c>
      <c r="C316" s="6">
        <v>354619.7</v>
      </c>
      <c r="D316" s="6">
        <v>6494416</v>
      </c>
      <c r="E316" s="3" t="s">
        <v>19</v>
      </c>
      <c r="F316" s="2" t="s">
        <v>20</v>
      </c>
      <c r="G316" s="3">
        <v>105.40079999999999</v>
      </c>
      <c r="H316" s="15">
        <v>19</v>
      </c>
      <c r="I316" s="15">
        <v>13.8</v>
      </c>
      <c r="J316" s="15">
        <v>67.2</v>
      </c>
      <c r="K316" s="6">
        <v>1.5449999999999999</v>
      </c>
      <c r="L316" s="6">
        <v>0.41499999999999998</v>
      </c>
      <c r="M316" s="6">
        <v>0.109</v>
      </c>
      <c r="N316" s="6">
        <v>2.27</v>
      </c>
      <c r="O316" s="23" t="s">
        <v>52</v>
      </c>
    </row>
    <row r="317" spans="1:15" x14ac:dyDescent="0.25">
      <c r="A317" s="12" t="s">
        <v>22</v>
      </c>
      <c r="B317" s="2">
        <v>315</v>
      </c>
      <c r="C317" s="6">
        <v>354498.3</v>
      </c>
      <c r="D317" s="6">
        <v>6494508</v>
      </c>
      <c r="E317" s="3" t="s">
        <v>19</v>
      </c>
      <c r="F317" s="2" t="s">
        <v>20</v>
      </c>
      <c r="G317" s="3">
        <v>52.699199999999998</v>
      </c>
      <c r="H317" s="15">
        <v>22.2</v>
      </c>
      <c r="I317" s="15">
        <v>14.9</v>
      </c>
      <c r="J317" s="15">
        <v>62.9</v>
      </c>
      <c r="K317" s="6">
        <v>1.476</v>
      </c>
      <c r="L317" s="6">
        <v>0.439</v>
      </c>
      <c r="M317" s="6">
        <v>0.156</v>
      </c>
      <c r="N317" s="6">
        <v>2.31</v>
      </c>
      <c r="O317" s="23" t="s">
        <v>55</v>
      </c>
    </row>
    <row r="318" spans="1:15" x14ac:dyDescent="0.25">
      <c r="A318" s="12" t="s">
        <v>22</v>
      </c>
      <c r="B318" s="2">
        <v>316</v>
      </c>
      <c r="C318" s="6">
        <v>354376.9</v>
      </c>
      <c r="D318" s="6">
        <v>6494600</v>
      </c>
      <c r="E318" s="3" t="s">
        <v>19</v>
      </c>
      <c r="F318" s="2" t="s">
        <v>20</v>
      </c>
      <c r="G318" s="3">
        <v>286.9008</v>
      </c>
      <c r="H318" s="15">
        <v>21.6</v>
      </c>
      <c r="I318" s="15">
        <v>17.899999999999999</v>
      </c>
      <c r="J318" s="15">
        <v>60.5</v>
      </c>
      <c r="K318" s="6">
        <v>1.331</v>
      </c>
      <c r="L318" s="6">
        <v>0.496</v>
      </c>
      <c r="M318" s="6">
        <v>0.217</v>
      </c>
      <c r="N318" s="6">
        <v>2.3199999999999998</v>
      </c>
      <c r="O318" s="23" t="s">
        <v>53</v>
      </c>
    </row>
    <row r="319" spans="1:15" x14ac:dyDescent="0.25">
      <c r="A319" s="12" t="s">
        <v>22</v>
      </c>
      <c r="B319" s="2">
        <v>317</v>
      </c>
      <c r="C319" s="6">
        <v>354255.4</v>
      </c>
      <c r="D319" s="6">
        <v>6494692</v>
      </c>
      <c r="E319" s="3" t="s">
        <v>19</v>
      </c>
      <c r="F319" s="2" t="s">
        <v>20</v>
      </c>
      <c r="G319" s="3">
        <v>287.80079999999998</v>
      </c>
      <c r="H319" s="15">
        <v>18.899999999999999</v>
      </c>
      <c r="I319" s="15">
        <v>19.3</v>
      </c>
      <c r="J319" s="15">
        <v>61.8</v>
      </c>
      <c r="K319" s="6">
        <v>1.2929999999999999</v>
      </c>
      <c r="L319" s="6">
        <v>0.501</v>
      </c>
      <c r="M319" s="6">
        <v>0.21</v>
      </c>
      <c r="N319" s="6">
        <v>2.5</v>
      </c>
      <c r="O319" s="23" t="s">
        <v>53</v>
      </c>
    </row>
    <row r="320" spans="1:15" x14ac:dyDescent="0.25">
      <c r="A320" s="12" t="s">
        <v>22</v>
      </c>
      <c r="B320" s="2">
        <v>318</v>
      </c>
      <c r="C320" s="6">
        <v>354134</v>
      </c>
      <c r="D320" s="6">
        <v>6494784</v>
      </c>
      <c r="E320" s="3" t="s">
        <v>19</v>
      </c>
      <c r="F320" s="2" t="s">
        <v>20</v>
      </c>
      <c r="G320" s="3">
        <v>179.5992</v>
      </c>
      <c r="H320" s="15">
        <v>26.3</v>
      </c>
      <c r="I320" s="15">
        <v>15.4</v>
      </c>
      <c r="J320" s="15">
        <v>58.3</v>
      </c>
      <c r="K320" s="6">
        <v>1.2569999999999999</v>
      </c>
      <c r="L320" s="6">
        <v>0.46600000000000003</v>
      </c>
      <c r="M320" s="6">
        <v>0.16300000000000001</v>
      </c>
      <c r="N320" s="6">
        <v>2.37</v>
      </c>
      <c r="O320" s="23" t="s">
        <v>52</v>
      </c>
    </row>
    <row r="321" spans="1:15" x14ac:dyDescent="0.25">
      <c r="A321" s="12" t="s">
        <v>22</v>
      </c>
      <c r="B321" s="2">
        <v>319</v>
      </c>
      <c r="C321" s="6">
        <v>354012.6</v>
      </c>
      <c r="D321" s="6">
        <v>6494876</v>
      </c>
      <c r="E321" s="3" t="s">
        <v>19</v>
      </c>
      <c r="F321" s="2" t="s">
        <v>20</v>
      </c>
      <c r="G321" s="3">
        <v>4.0007999999999999</v>
      </c>
      <c r="H321" s="15">
        <v>22.9</v>
      </c>
      <c r="I321" s="15">
        <v>54.9</v>
      </c>
      <c r="J321" s="15">
        <v>22.2</v>
      </c>
      <c r="K321" s="6">
        <v>1.3</v>
      </c>
      <c r="L321" s="6">
        <v>0.47200000000000003</v>
      </c>
      <c r="M321" s="6">
        <v>7.0000000000000007E-2</v>
      </c>
      <c r="N321" s="6">
        <v>3.02</v>
      </c>
      <c r="O321" s="23" t="s">
        <v>52</v>
      </c>
    </row>
    <row r="322" spans="1:15" x14ac:dyDescent="0.25">
      <c r="A322" s="12" t="s">
        <v>22</v>
      </c>
      <c r="B322" s="2">
        <v>320</v>
      </c>
      <c r="C322" s="6">
        <v>353891.2</v>
      </c>
      <c r="D322" s="6">
        <v>6494968</v>
      </c>
      <c r="E322" s="3" t="s">
        <v>19</v>
      </c>
      <c r="F322" s="2" t="s">
        <v>20</v>
      </c>
      <c r="G322" s="3">
        <v>131.5008</v>
      </c>
      <c r="H322" s="15">
        <v>20.8</v>
      </c>
      <c r="I322" s="15">
        <v>14.8</v>
      </c>
      <c r="J322" s="15">
        <v>64.400000000000006</v>
      </c>
      <c r="K322" s="6">
        <v>1.4810000000000001</v>
      </c>
      <c r="L322" s="6">
        <v>0.41700000000000004</v>
      </c>
      <c r="M322" s="6">
        <v>0.10300000000000001</v>
      </c>
      <c r="N322" s="6">
        <v>2.31</v>
      </c>
      <c r="O322" s="23" t="s">
        <v>52</v>
      </c>
    </row>
    <row r="323" spans="1:15" x14ac:dyDescent="0.25">
      <c r="A323" s="12" t="s">
        <v>22</v>
      </c>
      <c r="B323" s="2">
        <v>321</v>
      </c>
      <c r="C323" s="6">
        <v>353769.7</v>
      </c>
      <c r="D323" s="6">
        <v>6495060</v>
      </c>
      <c r="E323" s="3" t="s">
        <v>19</v>
      </c>
      <c r="F323" s="2" t="s">
        <v>20</v>
      </c>
      <c r="G323" s="3">
        <v>56.299199999999999</v>
      </c>
      <c r="H323" s="15">
        <v>15.8</v>
      </c>
      <c r="I323" s="15">
        <v>16.399999999999999</v>
      </c>
      <c r="J323" s="15">
        <v>67.8</v>
      </c>
      <c r="K323" s="6">
        <v>1.4870000000000001</v>
      </c>
      <c r="L323" s="6">
        <v>0.40899999999999997</v>
      </c>
      <c r="M323" s="6">
        <v>9.3000000000000013E-2</v>
      </c>
      <c r="N323" s="6">
        <v>2.2799999999999998</v>
      </c>
      <c r="O323" s="23" t="s">
        <v>52</v>
      </c>
    </row>
    <row r="324" spans="1:15" x14ac:dyDescent="0.25">
      <c r="A324" s="12" t="s">
        <v>22</v>
      </c>
      <c r="B324" s="2">
        <v>322</v>
      </c>
      <c r="C324" s="6">
        <v>353648.3</v>
      </c>
      <c r="D324" s="6">
        <v>6495152</v>
      </c>
      <c r="E324" s="3" t="s">
        <v>19</v>
      </c>
      <c r="F324" s="2" t="s">
        <v>20</v>
      </c>
      <c r="G324" s="3">
        <v>18</v>
      </c>
      <c r="H324" s="15">
        <v>19.8</v>
      </c>
      <c r="I324" s="15">
        <v>18.399999999999999</v>
      </c>
      <c r="J324" s="15">
        <v>61.9</v>
      </c>
      <c r="K324" s="6">
        <v>1.3839999999999999</v>
      </c>
      <c r="L324" s="6">
        <v>0.46200000000000002</v>
      </c>
      <c r="M324" s="6">
        <v>0.11699999999999999</v>
      </c>
      <c r="N324" s="6">
        <v>2.4700000000000002</v>
      </c>
      <c r="O324" s="23" t="s">
        <v>52</v>
      </c>
    </row>
    <row r="325" spans="1:15" x14ac:dyDescent="0.25">
      <c r="A325" s="12" t="s">
        <v>22</v>
      </c>
      <c r="B325" s="2">
        <v>323</v>
      </c>
      <c r="C325" s="6">
        <v>353526.9</v>
      </c>
      <c r="D325" s="6">
        <v>6495244</v>
      </c>
      <c r="E325" s="3" t="s">
        <v>19</v>
      </c>
      <c r="F325" s="2" t="s">
        <v>20</v>
      </c>
      <c r="G325" s="3">
        <v>52.699199999999998</v>
      </c>
      <c r="H325" s="15">
        <v>16.600000000000001</v>
      </c>
      <c r="I325" s="15">
        <v>16.8</v>
      </c>
      <c r="J325" s="15">
        <v>66.7</v>
      </c>
      <c r="K325" s="6">
        <v>1.5820000000000001</v>
      </c>
      <c r="L325" s="6">
        <v>0.371</v>
      </c>
      <c r="M325" s="6">
        <v>8.5999999999999993E-2</v>
      </c>
      <c r="N325" s="6">
        <v>2.09</v>
      </c>
      <c r="O325" s="23" t="s">
        <v>52</v>
      </c>
    </row>
    <row r="326" spans="1:15" x14ac:dyDescent="0.25">
      <c r="A326" s="12" t="s">
        <v>22</v>
      </c>
      <c r="B326" s="2">
        <v>324</v>
      </c>
      <c r="C326" s="6">
        <v>353405.5</v>
      </c>
      <c r="D326" s="6">
        <v>6495336</v>
      </c>
      <c r="E326" s="3" t="s">
        <v>19</v>
      </c>
      <c r="F326" s="2" t="s">
        <v>20</v>
      </c>
      <c r="G326" s="3">
        <v>19.5</v>
      </c>
      <c r="H326" s="15">
        <v>20.3</v>
      </c>
      <c r="I326" s="15">
        <v>23.3</v>
      </c>
      <c r="J326" s="15">
        <v>56.4</v>
      </c>
      <c r="K326" s="6">
        <v>1.4930000000000001</v>
      </c>
      <c r="L326" s="6">
        <v>0.39899999999999997</v>
      </c>
      <c r="M326" s="6">
        <v>9.5000000000000001E-2</v>
      </c>
      <c r="N326" s="6">
        <v>2.34</v>
      </c>
      <c r="O326" s="23" t="s">
        <v>52</v>
      </c>
    </row>
    <row r="327" spans="1:15" x14ac:dyDescent="0.25">
      <c r="A327" s="12" t="s">
        <v>22</v>
      </c>
      <c r="B327" s="2">
        <v>325</v>
      </c>
      <c r="C327" s="6">
        <v>353284</v>
      </c>
      <c r="D327" s="6">
        <v>6495428</v>
      </c>
      <c r="E327" s="3" t="s">
        <v>19</v>
      </c>
      <c r="F327" s="2" t="s">
        <v>20</v>
      </c>
      <c r="G327" s="3">
        <v>18.600000000000001</v>
      </c>
      <c r="H327" s="15">
        <v>15</v>
      </c>
      <c r="I327" s="15">
        <v>17.2</v>
      </c>
      <c r="J327" s="15">
        <v>67.8</v>
      </c>
      <c r="K327" s="6">
        <v>1.6619999999999999</v>
      </c>
      <c r="L327" s="6">
        <v>0.34499999999999997</v>
      </c>
      <c r="M327" s="6">
        <v>8.900000000000001E-2</v>
      </c>
      <c r="N327" s="6">
        <v>2.0699999999999998</v>
      </c>
      <c r="O327" s="23" t="s">
        <v>52</v>
      </c>
    </row>
    <row r="328" spans="1:15" x14ac:dyDescent="0.25">
      <c r="A328" s="12" t="s">
        <v>22</v>
      </c>
      <c r="B328" s="2">
        <v>326</v>
      </c>
      <c r="C328" s="6">
        <v>353162.6</v>
      </c>
      <c r="D328" s="6">
        <v>6495520</v>
      </c>
      <c r="E328" s="3" t="s">
        <v>19</v>
      </c>
      <c r="F328" s="2" t="s">
        <v>20</v>
      </c>
      <c r="G328" s="3">
        <v>152.20080000000002</v>
      </c>
      <c r="H328" s="15">
        <v>12</v>
      </c>
      <c r="I328" s="15">
        <v>14.7</v>
      </c>
      <c r="J328" s="15">
        <v>73.3</v>
      </c>
      <c r="K328" s="6">
        <v>1.569</v>
      </c>
      <c r="L328" s="6">
        <v>0.42100000000000004</v>
      </c>
      <c r="M328" s="6">
        <v>0.20199999999999999</v>
      </c>
      <c r="N328" s="6">
        <v>1.95</v>
      </c>
      <c r="O328" s="23" t="s">
        <v>52</v>
      </c>
    </row>
    <row r="329" spans="1:15" x14ac:dyDescent="0.25">
      <c r="A329" s="12" t="s">
        <v>22</v>
      </c>
      <c r="B329" s="2">
        <v>327</v>
      </c>
      <c r="C329" s="6">
        <v>353041.2</v>
      </c>
      <c r="D329" s="6">
        <v>6495612</v>
      </c>
      <c r="E329" s="3" t="s">
        <v>19</v>
      </c>
      <c r="F329" s="2" t="s">
        <v>20</v>
      </c>
      <c r="G329" s="3">
        <v>88.199999999999989</v>
      </c>
      <c r="H329" s="15">
        <v>19.7</v>
      </c>
      <c r="I329" s="15">
        <v>21</v>
      </c>
      <c r="J329" s="15">
        <v>59.2</v>
      </c>
      <c r="K329" s="6">
        <v>1.4059999999999999</v>
      </c>
      <c r="L329" s="6">
        <v>0.46200000000000002</v>
      </c>
      <c r="M329" s="6">
        <v>0.14400000000000002</v>
      </c>
      <c r="N329" s="6">
        <v>2.52</v>
      </c>
      <c r="O329" s="23" t="s">
        <v>53</v>
      </c>
    </row>
    <row r="330" spans="1:15" x14ac:dyDescent="0.25">
      <c r="A330" s="12" t="s">
        <v>22</v>
      </c>
      <c r="B330" s="2">
        <v>328</v>
      </c>
      <c r="C330" s="6">
        <v>352919.8</v>
      </c>
      <c r="D330" s="6">
        <v>6495704</v>
      </c>
      <c r="E330" s="3" t="s">
        <v>19</v>
      </c>
      <c r="F330" s="2" t="s">
        <v>20</v>
      </c>
      <c r="G330" s="3">
        <v>37.099199999999996</v>
      </c>
      <c r="H330" s="15">
        <v>13.9</v>
      </c>
      <c r="I330" s="15">
        <v>18.3</v>
      </c>
      <c r="J330" s="15">
        <v>67.8</v>
      </c>
      <c r="K330" s="6">
        <v>1.583</v>
      </c>
      <c r="L330" s="6">
        <v>0.36700000000000005</v>
      </c>
      <c r="M330" s="6">
        <v>0.128</v>
      </c>
      <c r="N330" s="6">
        <v>2.0299999999999998</v>
      </c>
      <c r="O330" s="23" t="s">
        <v>52</v>
      </c>
    </row>
    <row r="331" spans="1:15" x14ac:dyDescent="0.25">
      <c r="A331" s="12" t="s">
        <v>22</v>
      </c>
      <c r="B331" s="2">
        <v>329</v>
      </c>
      <c r="C331" s="6">
        <v>352798.3</v>
      </c>
      <c r="D331" s="6">
        <v>6495796</v>
      </c>
      <c r="E331" s="3" t="s">
        <v>19</v>
      </c>
      <c r="F331" s="2" t="s">
        <v>20</v>
      </c>
      <c r="G331" s="3">
        <v>471.3</v>
      </c>
      <c r="H331" s="15">
        <v>12.3</v>
      </c>
      <c r="I331" s="15">
        <v>12.8</v>
      </c>
      <c r="J331" s="15">
        <v>74.900000000000006</v>
      </c>
      <c r="K331" s="6">
        <v>1.0229999999999999</v>
      </c>
      <c r="L331" s="6">
        <v>0.59599999999999997</v>
      </c>
      <c r="M331" s="6">
        <v>0.30199999999999999</v>
      </c>
      <c r="N331" s="6">
        <v>2.2999999999999998</v>
      </c>
      <c r="O331" s="23" t="s">
        <v>53</v>
      </c>
    </row>
    <row r="332" spans="1:15" x14ac:dyDescent="0.25">
      <c r="A332" s="12" t="s">
        <v>22</v>
      </c>
      <c r="B332" s="2">
        <v>330</v>
      </c>
      <c r="C332" s="6">
        <v>352676.9</v>
      </c>
      <c r="D332" s="6">
        <v>6495888</v>
      </c>
      <c r="E332" s="3" t="s">
        <v>19</v>
      </c>
      <c r="F332" s="2" t="s">
        <v>20</v>
      </c>
      <c r="G332" s="3">
        <v>88.600799999999992</v>
      </c>
      <c r="H332" s="15">
        <v>16.3</v>
      </c>
      <c r="I332" s="15">
        <v>13.9</v>
      </c>
      <c r="J332" s="15">
        <v>69.8</v>
      </c>
      <c r="K332" s="6">
        <v>1.524</v>
      </c>
      <c r="L332" s="6">
        <v>0.39799999999999996</v>
      </c>
      <c r="M332" s="6">
        <v>0.11900000000000001</v>
      </c>
      <c r="N332" s="6">
        <v>2.08</v>
      </c>
      <c r="O332" s="23" t="s">
        <v>56</v>
      </c>
    </row>
    <row r="333" spans="1:15" x14ac:dyDescent="0.25">
      <c r="A333" s="12" t="s">
        <v>22</v>
      </c>
      <c r="B333" s="2">
        <v>331</v>
      </c>
      <c r="C333" s="6">
        <v>352555.5</v>
      </c>
      <c r="D333" s="6">
        <v>6495980</v>
      </c>
      <c r="E333" s="3" t="s">
        <v>19</v>
      </c>
      <c r="F333" s="2" t="s">
        <v>20</v>
      </c>
      <c r="G333" s="3">
        <v>209.39999999999998</v>
      </c>
      <c r="H333" s="15">
        <v>17.600000000000001</v>
      </c>
      <c r="I333" s="15">
        <v>15.3</v>
      </c>
      <c r="J333" s="15">
        <v>67.099999999999994</v>
      </c>
      <c r="K333" s="6">
        <v>1.5069999999999999</v>
      </c>
      <c r="L333" s="6">
        <v>0.41700000000000004</v>
      </c>
      <c r="M333" s="6">
        <v>0.20800000000000002</v>
      </c>
      <c r="N333" s="6">
        <v>2.0299999999999998</v>
      </c>
      <c r="O333" s="23" t="s">
        <v>55</v>
      </c>
    </row>
    <row r="334" spans="1:15" x14ac:dyDescent="0.25">
      <c r="A334" s="12" t="s">
        <v>22</v>
      </c>
      <c r="B334" s="2">
        <v>332</v>
      </c>
      <c r="C334" s="6">
        <v>352434.1</v>
      </c>
      <c r="D334" s="6">
        <v>6496072</v>
      </c>
      <c r="E334" s="3" t="s">
        <v>19</v>
      </c>
      <c r="F334" s="2" t="s">
        <v>20</v>
      </c>
      <c r="G334" s="3">
        <v>96.199200000000005</v>
      </c>
      <c r="H334" s="15">
        <v>12.1</v>
      </c>
      <c r="I334" s="15">
        <v>15.8</v>
      </c>
      <c r="J334" s="15">
        <v>72.099999999999994</v>
      </c>
      <c r="K334" s="6">
        <v>1.538</v>
      </c>
      <c r="L334" s="6">
        <v>0.373</v>
      </c>
      <c r="M334" s="6">
        <v>0.155</v>
      </c>
      <c r="N334" s="6">
        <v>2.0099999999999998</v>
      </c>
      <c r="O334" s="23" t="s">
        <v>52</v>
      </c>
    </row>
    <row r="335" spans="1:15" x14ac:dyDescent="0.25">
      <c r="A335" s="12" t="s">
        <v>22</v>
      </c>
      <c r="B335" s="2">
        <v>333</v>
      </c>
      <c r="C335" s="6">
        <v>352312.7</v>
      </c>
      <c r="D335" s="6">
        <v>6496164</v>
      </c>
      <c r="E335" s="3" t="s">
        <v>19</v>
      </c>
      <c r="F335" s="2" t="s">
        <v>20</v>
      </c>
      <c r="G335" s="3">
        <v>122.39999999999999</v>
      </c>
      <c r="H335" s="15">
        <v>16.600000000000001</v>
      </c>
      <c r="I335" s="15">
        <v>15.5</v>
      </c>
      <c r="J335" s="15">
        <v>68</v>
      </c>
      <c r="K335" s="6">
        <v>1.4730000000000001</v>
      </c>
      <c r="L335" s="6">
        <v>0.41100000000000003</v>
      </c>
      <c r="M335" s="6">
        <v>0.16600000000000001</v>
      </c>
      <c r="N335" s="6">
        <v>2.16</v>
      </c>
      <c r="O335" s="23" t="s">
        <v>52</v>
      </c>
    </row>
    <row r="336" spans="1:15" x14ac:dyDescent="0.25">
      <c r="A336" s="12" t="s">
        <v>22</v>
      </c>
      <c r="B336" s="2">
        <v>334</v>
      </c>
      <c r="C336" s="6">
        <v>352191.2</v>
      </c>
      <c r="D336" s="6">
        <v>6496256</v>
      </c>
      <c r="E336" s="3" t="s">
        <v>19</v>
      </c>
      <c r="F336" s="2" t="s">
        <v>20</v>
      </c>
      <c r="G336" s="3">
        <v>462.49919999999997</v>
      </c>
      <c r="H336" s="15">
        <v>11.3</v>
      </c>
      <c r="I336" s="15">
        <v>14</v>
      </c>
      <c r="J336" s="15">
        <v>74.7</v>
      </c>
      <c r="K336" s="6">
        <v>1.5980000000000001</v>
      </c>
      <c r="L336" s="6">
        <v>0.34899999999999998</v>
      </c>
      <c r="M336" s="6">
        <v>0.17</v>
      </c>
      <c r="N336" s="6">
        <v>1.93</v>
      </c>
      <c r="O336" s="23" t="s">
        <v>52</v>
      </c>
    </row>
    <row r="337" spans="1:15" x14ac:dyDescent="0.25">
      <c r="A337" s="12" t="s">
        <v>22</v>
      </c>
      <c r="B337" s="2">
        <v>335</v>
      </c>
      <c r="C337" s="6">
        <v>352069.8</v>
      </c>
      <c r="D337" s="6">
        <v>6496348</v>
      </c>
      <c r="E337" s="3" t="s">
        <v>19</v>
      </c>
      <c r="F337" s="2" t="s">
        <v>20</v>
      </c>
      <c r="G337" s="3">
        <v>386.80080000000004</v>
      </c>
      <c r="H337" s="15">
        <v>13.6</v>
      </c>
      <c r="I337" s="15">
        <v>11.5</v>
      </c>
      <c r="J337" s="15">
        <v>74.900000000000006</v>
      </c>
      <c r="K337" s="6">
        <v>1.3859999999999999</v>
      </c>
      <c r="L337" s="6">
        <v>0.47899999999999998</v>
      </c>
      <c r="M337" s="6">
        <v>0.26</v>
      </c>
      <c r="N337" s="6">
        <v>2.12</v>
      </c>
      <c r="O337" s="23" t="s">
        <v>52</v>
      </c>
    </row>
    <row r="338" spans="1:15" x14ac:dyDescent="0.25">
      <c r="A338" s="12" t="s">
        <v>22</v>
      </c>
      <c r="B338" s="2">
        <v>336</v>
      </c>
      <c r="C338" s="6">
        <v>351948.4</v>
      </c>
      <c r="D338" s="6">
        <v>6496440</v>
      </c>
      <c r="E338" s="3" t="s">
        <v>19</v>
      </c>
      <c r="F338" s="2" t="s">
        <v>20</v>
      </c>
      <c r="G338" s="3">
        <v>140.29920000000001</v>
      </c>
      <c r="H338" s="15">
        <v>17.399999999999999</v>
      </c>
      <c r="I338" s="15">
        <v>20.5</v>
      </c>
      <c r="J338" s="15">
        <v>62.2</v>
      </c>
      <c r="K338" s="6">
        <v>1.409</v>
      </c>
      <c r="L338" s="6">
        <v>0.45200000000000001</v>
      </c>
      <c r="M338" s="6">
        <v>0.17</v>
      </c>
      <c r="N338" s="6">
        <v>2.42</v>
      </c>
      <c r="O338" s="23" t="s">
        <v>52</v>
      </c>
    </row>
    <row r="339" spans="1:15" x14ac:dyDescent="0.25">
      <c r="A339" s="12" t="s">
        <v>22</v>
      </c>
      <c r="B339" s="2">
        <v>337</v>
      </c>
      <c r="C339" s="6">
        <v>351827</v>
      </c>
      <c r="D339" s="6">
        <v>6496532</v>
      </c>
      <c r="E339" s="3" t="s">
        <v>19</v>
      </c>
      <c r="F339" s="2" t="s">
        <v>20</v>
      </c>
      <c r="G339" s="3">
        <v>197.5992</v>
      </c>
      <c r="H339" s="15">
        <v>21.5</v>
      </c>
      <c r="I339" s="15">
        <v>15.3</v>
      </c>
      <c r="J339" s="15">
        <v>63.2</v>
      </c>
      <c r="K339" s="6">
        <v>1.319</v>
      </c>
      <c r="L339" s="6">
        <v>0.50800000000000001</v>
      </c>
      <c r="M339" s="6">
        <v>0.182</v>
      </c>
      <c r="N339" s="6">
        <v>2.3199999999999998</v>
      </c>
      <c r="O339" s="23" t="s">
        <v>53</v>
      </c>
    </row>
    <row r="340" spans="1:15" x14ac:dyDescent="0.25">
      <c r="A340" s="12" t="s">
        <v>22</v>
      </c>
      <c r="B340" s="2">
        <v>338</v>
      </c>
      <c r="C340" s="6">
        <v>351705.5</v>
      </c>
      <c r="D340" s="6">
        <v>6496624</v>
      </c>
      <c r="E340" s="3" t="s">
        <v>19</v>
      </c>
      <c r="F340" s="2" t="s">
        <v>20</v>
      </c>
      <c r="G340" s="3">
        <v>105.40079999999999</v>
      </c>
      <c r="H340" s="15">
        <v>17.5</v>
      </c>
      <c r="I340" s="15">
        <v>16.600000000000001</v>
      </c>
      <c r="J340" s="15">
        <v>65.900000000000006</v>
      </c>
      <c r="K340" s="6">
        <v>1.4079999999999999</v>
      </c>
      <c r="L340" s="6">
        <v>0.44299999999999995</v>
      </c>
      <c r="M340" s="6">
        <v>0.17499999999999999</v>
      </c>
      <c r="N340" s="6">
        <v>2.29</v>
      </c>
      <c r="O340" s="23" t="s">
        <v>52</v>
      </c>
    </row>
    <row r="341" spans="1:15" x14ac:dyDescent="0.25">
      <c r="A341" s="12" t="s">
        <v>22</v>
      </c>
      <c r="B341" s="2">
        <v>339</v>
      </c>
      <c r="C341" s="6">
        <v>351584.1</v>
      </c>
      <c r="D341" s="6">
        <v>6496716</v>
      </c>
      <c r="E341" s="3" t="s">
        <v>19</v>
      </c>
      <c r="F341" s="2" t="s">
        <v>20</v>
      </c>
      <c r="G341" s="3">
        <v>189</v>
      </c>
      <c r="H341" s="15">
        <v>16.3</v>
      </c>
      <c r="I341" s="15">
        <v>17.600000000000001</v>
      </c>
      <c r="J341" s="15">
        <v>66.099999999999994</v>
      </c>
      <c r="K341" s="6">
        <v>1.33</v>
      </c>
      <c r="L341" s="6">
        <v>0.48200000000000004</v>
      </c>
      <c r="M341" s="6">
        <v>0.23300000000000001</v>
      </c>
      <c r="N341" s="6">
        <v>2.36</v>
      </c>
      <c r="O341" s="23" t="s">
        <v>55</v>
      </c>
    </row>
    <row r="342" spans="1:15" x14ac:dyDescent="0.25">
      <c r="A342" s="12" t="s">
        <v>22</v>
      </c>
      <c r="B342" s="2">
        <v>340</v>
      </c>
      <c r="C342" s="6">
        <v>351462.7</v>
      </c>
      <c r="D342" s="6">
        <v>6496808</v>
      </c>
      <c r="E342" s="3" t="s">
        <v>19</v>
      </c>
      <c r="F342" s="2" t="s">
        <v>20</v>
      </c>
      <c r="G342" s="3">
        <v>362.20080000000002</v>
      </c>
      <c r="H342" s="15">
        <v>17.7</v>
      </c>
      <c r="I342" s="15">
        <v>12.8</v>
      </c>
      <c r="J342" s="15">
        <v>69.599999999999994</v>
      </c>
      <c r="K342" s="6">
        <v>1.556</v>
      </c>
      <c r="L342" s="6">
        <v>0.40600000000000003</v>
      </c>
      <c r="M342" s="6">
        <v>0.18899999999999997</v>
      </c>
      <c r="N342" s="6">
        <v>2.14</v>
      </c>
      <c r="O342" s="23" t="s">
        <v>52</v>
      </c>
    </row>
    <row r="343" spans="1:15" x14ac:dyDescent="0.25">
      <c r="A343" s="12" t="s">
        <v>22</v>
      </c>
      <c r="B343" s="2">
        <v>341</v>
      </c>
      <c r="C343" s="6">
        <v>351341.3</v>
      </c>
      <c r="D343" s="6">
        <v>6496900</v>
      </c>
      <c r="E343" s="3" t="s">
        <v>19</v>
      </c>
      <c r="F343" s="2" t="s">
        <v>20</v>
      </c>
      <c r="G343" s="3">
        <v>255.9</v>
      </c>
      <c r="H343" s="15">
        <v>19.2</v>
      </c>
      <c r="I343" s="15">
        <v>14.9</v>
      </c>
      <c r="J343" s="15">
        <v>65.900000000000006</v>
      </c>
      <c r="K343" s="6">
        <v>1.419</v>
      </c>
      <c r="L343" s="6">
        <v>0.47299999999999998</v>
      </c>
      <c r="M343" s="6">
        <v>0.191</v>
      </c>
      <c r="N343" s="6">
        <v>2.34</v>
      </c>
      <c r="O343" s="23" t="s">
        <v>52</v>
      </c>
    </row>
    <row r="344" spans="1:15" x14ac:dyDescent="0.25">
      <c r="A344" s="12" t="s">
        <v>22</v>
      </c>
      <c r="B344" s="2">
        <v>342</v>
      </c>
      <c r="C344" s="6">
        <v>351219.8</v>
      </c>
      <c r="D344" s="6">
        <v>6496992</v>
      </c>
      <c r="E344" s="3" t="s">
        <v>19</v>
      </c>
      <c r="F344" s="2" t="s">
        <v>20</v>
      </c>
      <c r="G344" s="3">
        <v>90.799199999999999</v>
      </c>
      <c r="H344" s="15">
        <v>16.100000000000001</v>
      </c>
      <c r="I344" s="15">
        <v>16</v>
      </c>
      <c r="J344" s="15">
        <v>67.900000000000006</v>
      </c>
      <c r="K344" s="6">
        <v>1.4830000000000001</v>
      </c>
      <c r="L344" s="6">
        <v>0.47299999999999998</v>
      </c>
      <c r="M344" s="6">
        <v>0.183</v>
      </c>
      <c r="N344" s="6">
        <v>2.19</v>
      </c>
      <c r="O344" s="23" t="s">
        <v>52</v>
      </c>
    </row>
    <row r="345" spans="1:15" x14ac:dyDescent="0.25">
      <c r="A345" s="12" t="s">
        <v>22</v>
      </c>
      <c r="B345" s="2">
        <v>343</v>
      </c>
      <c r="C345" s="6">
        <v>351098.4</v>
      </c>
      <c r="D345" s="6">
        <v>6497084</v>
      </c>
      <c r="E345" s="3" t="s">
        <v>19</v>
      </c>
      <c r="F345" s="2" t="s">
        <v>20</v>
      </c>
      <c r="G345" s="3">
        <v>50.400000000000006</v>
      </c>
      <c r="H345" s="15">
        <v>19.100000000000001</v>
      </c>
      <c r="I345" s="15">
        <v>18.899999999999999</v>
      </c>
      <c r="J345" s="15">
        <v>62</v>
      </c>
      <c r="K345" s="6">
        <v>1.538</v>
      </c>
      <c r="L345" s="6">
        <v>0.40399999999999997</v>
      </c>
      <c r="M345" s="6">
        <v>0.16200000000000001</v>
      </c>
      <c r="N345" s="6">
        <v>2.11</v>
      </c>
      <c r="O345" s="23" t="s">
        <v>57</v>
      </c>
    </row>
    <row r="346" spans="1:15" x14ac:dyDescent="0.25">
      <c r="A346" s="12" t="s">
        <v>22</v>
      </c>
      <c r="B346" s="2">
        <v>344</v>
      </c>
      <c r="C346" s="6">
        <v>350977</v>
      </c>
      <c r="D346" s="6">
        <v>6497176</v>
      </c>
      <c r="E346" s="3" t="s">
        <v>19</v>
      </c>
      <c r="F346" s="2" t="s">
        <v>20</v>
      </c>
      <c r="G346" s="3">
        <v>7.8</v>
      </c>
      <c r="H346" s="15">
        <v>19.600000000000001</v>
      </c>
      <c r="I346" s="15">
        <v>15.5</v>
      </c>
      <c r="J346" s="15">
        <v>65</v>
      </c>
      <c r="K346" s="6">
        <v>1.456</v>
      </c>
      <c r="L346" s="6">
        <v>0.41700000000000004</v>
      </c>
      <c r="M346" s="6">
        <v>8.5000000000000006E-2</v>
      </c>
      <c r="N346" s="6">
        <v>2.29</v>
      </c>
      <c r="O346" s="23" t="s">
        <v>53</v>
      </c>
    </row>
    <row r="347" spans="1:15" x14ac:dyDescent="0.25">
      <c r="A347" s="12" t="s">
        <v>22</v>
      </c>
      <c r="B347" s="2">
        <v>345</v>
      </c>
      <c r="C347" s="6">
        <v>350855.6</v>
      </c>
      <c r="D347" s="6">
        <v>6497268</v>
      </c>
      <c r="E347" s="3" t="s">
        <v>19</v>
      </c>
      <c r="F347" s="2" t="s">
        <v>20</v>
      </c>
      <c r="G347" s="3">
        <v>131.1</v>
      </c>
      <c r="H347" s="15">
        <v>25.2</v>
      </c>
      <c r="I347" s="15">
        <v>16.7</v>
      </c>
      <c r="J347" s="15">
        <v>58.1</v>
      </c>
      <c r="K347" s="6">
        <v>1.379</v>
      </c>
      <c r="L347" s="6">
        <v>0.45500000000000002</v>
      </c>
      <c r="M347" s="6">
        <v>0.13699999999999998</v>
      </c>
      <c r="N347" s="6">
        <v>2.44</v>
      </c>
      <c r="O347" s="23" t="s">
        <v>57</v>
      </c>
    </row>
    <row r="348" spans="1:15" x14ac:dyDescent="0.25">
      <c r="A348" s="12" t="s">
        <v>22</v>
      </c>
      <c r="B348" s="2">
        <v>346</v>
      </c>
      <c r="C348" s="6">
        <v>350734.1</v>
      </c>
      <c r="D348" s="6">
        <v>6497360</v>
      </c>
      <c r="E348" s="3" t="s">
        <v>19</v>
      </c>
      <c r="F348" s="2" t="s">
        <v>20</v>
      </c>
      <c r="G348" s="3">
        <v>67.600800000000007</v>
      </c>
      <c r="H348" s="15">
        <v>17.100000000000001</v>
      </c>
      <c r="I348" s="15">
        <v>18.399999999999999</v>
      </c>
      <c r="J348" s="15">
        <v>64.5</v>
      </c>
      <c r="K348" s="6">
        <v>1.5129999999999999</v>
      </c>
      <c r="L348" s="6">
        <v>0.42399999999999999</v>
      </c>
      <c r="M348" s="6">
        <v>0.151</v>
      </c>
      <c r="N348" s="6">
        <v>2.29</v>
      </c>
      <c r="O348" s="23" t="s">
        <v>57</v>
      </c>
    </row>
    <row r="349" spans="1:15" x14ac:dyDescent="0.25">
      <c r="A349" s="12" t="s">
        <v>22</v>
      </c>
      <c r="B349" s="2">
        <v>347</v>
      </c>
      <c r="C349" s="6">
        <v>350612.7</v>
      </c>
      <c r="D349" s="6">
        <v>6497452</v>
      </c>
      <c r="E349" s="3" t="s">
        <v>19</v>
      </c>
      <c r="F349" s="2" t="s">
        <v>20</v>
      </c>
      <c r="G349" s="3">
        <v>115.30080000000001</v>
      </c>
      <c r="H349" s="15">
        <v>19.2</v>
      </c>
      <c r="I349" s="15">
        <v>19.3</v>
      </c>
      <c r="J349" s="15">
        <v>61.5</v>
      </c>
      <c r="K349" s="6">
        <v>1.4750000000000001</v>
      </c>
      <c r="L349" s="6">
        <v>0.44799999999999995</v>
      </c>
      <c r="M349" s="6">
        <v>0.16600000000000001</v>
      </c>
      <c r="N349" s="6">
        <v>2.41</v>
      </c>
      <c r="O349" s="23" t="s">
        <v>52</v>
      </c>
    </row>
    <row r="350" spans="1:15" x14ac:dyDescent="0.25">
      <c r="A350" s="12" t="s">
        <v>22</v>
      </c>
      <c r="B350" s="2">
        <v>348</v>
      </c>
      <c r="C350" s="6">
        <v>350491.3</v>
      </c>
      <c r="D350" s="6">
        <v>6497544</v>
      </c>
      <c r="E350" s="3" t="s">
        <v>19</v>
      </c>
      <c r="F350" s="2" t="s">
        <v>20</v>
      </c>
      <c r="G350" s="3">
        <v>84.899999999999991</v>
      </c>
      <c r="H350" s="15">
        <v>21.6</v>
      </c>
      <c r="I350" s="15">
        <v>15.3</v>
      </c>
      <c r="J350" s="15">
        <v>63.1</v>
      </c>
      <c r="K350" s="6">
        <v>1.6</v>
      </c>
      <c r="L350" s="6">
        <v>0.374</v>
      </c>
      <c r="M350" s="6">
        <v>0.13800000000000001</v>
      </c>
      <c r="N350" s="6">
        <v>2.14</v>
      </c>
      <c r="O350" s="23" t="s">
        <v>55</v>
      </c>
    </row>
    <row r="351" spans="1:15" x14ac:dyDescent="0.25">
      <c r="A351" s="12" t="s">
        <v>22</v>
      </c>
      <c r="B351" s="2">
        <v>349</v>
      </c>
      <c r="C351" s="6">
        <v>350369.9</v>
      </c>
      <c r="D351" s="6">
        <v>6497636</v>
      </c>
      <c r="E351" s="3" t="s">
        <v>19</v>
      </c>
      <c r="F351" s="2" t="s">
        <v>20</v>
      </c>
      <c r="G351" s="3">
        <v>342.79919999999998</v>
      </c>
      <c r="H351" s="15">
        <v>17.100000000000001</v>
      </c>
      <c r="I351" s="15">
        <v>15.8</v>
      </c>
      <c r="J351" s="15">
        <v>67</v>
      </c>
      <c r="K351" s="6">
        <v>1.4550000000000001</v>
      </c>
      <c r="L351" s="6">
        <v>0.40399999999999997</v>
      </c>
      <c r="M351" s="6">
        <v>0.19399999999999998</v>
      </c>
      <c r="N351" s="6">
        <v>2.09</v>
      </c>
      <c r="O351" s="23" t="s">
        <v>57</v>
      </c>
    </row>
    <row r="352" spans="1:15" x14ac:dyDescent="0.25">
      <c r="A352" s="12" t="s">
        <v>22</v>
      </c>
      <c r="B352" s="2">
        <v>350</v>
      </c>
      <c r="C352" s="6">
        <v>350248.4</v>
      </c>
      <c r="D352" s="6">
        <v>6497728</v>
      </c>
      <c r="E352" s="3" t="s">
        <v>19</v>
      </c>
      <c r="F352" s="2" t="s">
        <v>20</v>
      </c>
      <c r="G352" s="3">
        <v>46.2</v>
      </c>
      <c r="H352" s="15">
        <v>14.6</v>
      </c>
      <c r="I352" s="15">
        <v>14</v>
      </c>
      <c r="J352" s="15">
        <v>71.400000000000006</v>
      </c>
      <c r="K352" s="6">
        <v>1.577</v>
      </c>
      <c r="L352" s="6">
        <v>0.37799999999999995</v>
      </c>
      <c r="M352" s="6">
        <v>0.12300000000000001</v>
      </c>
      <c r="N352" s="6">
        <v>2.2000000000000002</v>
      </c>
      <c r="O352" s="23" t="s">
        <v>52</v>
      </c>
    </row>
    <row r="353" spans="1:15" x14ac:dyDescent="0.25">
      <c r="A353" s="12" t="s">
        <v>22</v>
      </c>
      <c r="B353" s="2">
        <v>351</v>
      </c>
      <c r="C353" s="6">
        <v>350127</v>
      </c>
      <c r="D353" s="6">
        <v>6497820</v>
      </c>
      <c r="E353" s="3" t="s">
        <v>19</v>
      </c>
      <c r="F353" s="2" t="s">
        <v>20</v>
      </c>
      <c r="G353" s="3">
        <v>49.600800000000007</v>
      </c>
      <c r="H353" s="15">
        <v>11.2</v>
      </c>
      <c r="I353" s="15">
        <v>15.1</v>
      </c>
      <c r="J353" s="15">
        <v>73.7</v>
      </c>
      <c r="K353" s="6">
        <v>1.534</v>
      </c>
      <c r="L353" s="6">
        <v>0.36399999999999999</v>
      </c>
      <c r="M353" s="6">
        <v>0.10800000000000001</v>
      </c>
      <c r="N353" s="6">
        <v>1.98</v>
      </c>
      <c r="O353" s="23" t="s">
        <v>52</v>
      </c>
    </row>
    <row r="354" spans="1:15" x14ac:dyDescent="0.25">
      <c r="A354" s="12" t="s">
        <v>22</v>
      </c>
      <c r="B354" s="2">
        <v>352</v>
      </c>
      <c r="C354" s="6">
        <v>350005.6</v>
      </c>
      <c r="D354" s="6">
        <v>6497912</v>
      </c>
      <c r="E354" s="3" t="s">
        <v>19</v>
      </c>
      <c r="F354" s="2" t="s">
        <v>20</v>
      </c>
      <c r="G354" s="3">
        <v>27.1008</v>
      </c>
      <c r="H354" s="15">
        <v>9.8000000000000007</v>
      </c>
      <c r="I354" s="15">
        <v>16</v>
      </c>
      <c r="J354" s="15">
        <v>74.2</v>
      </c>
      <c r="K354" s="6">
        <v>1.58</v>
      </c>
      <c r="L354" s="6">
        <v>0.34299999999999997</v>
      </c>
      <c r="M354" s="6">
        <v>0.08</v>
      </c>
      <c r="N354" s="6">
        <v>1.91</v>
      </c>
      <c r="O354" s="23" t="s">
        <v>52</v>
      </c>
    </row>
    <row r="355" spans="1:15" x14ac:dyDescent="0.25">
      <c r="A355" s="12" t="s">
        <v>22</v>
      </c>
      <c r="B355" s="2">
        <v>353</v>
      </c>
      <c r="C355" s="6">
        <v>349884.2</v>
      </c>
      <c r="D355" s="6">
        <v>6498004</v>
      </c>
      <c r="E355" s="3" t="s">
        <v>19</v>
      </c>
      <c r="F355" s="2" t="s">
        <v>20</v>
      </c>
      <c r="G355" s="3">
        <v>1.6991999999999998</v>
      </c>
      <c r="H355" s="15">
        <v>38.299999999999997</v>
      </c>
      <c r="I355" s="15">
        <v>26.6</v>
      </c>
      <c r="J355" s="15">
        <v>35.200000000000003</v>
      </c>
      <c r="K355" s="6">
        <v>1.361</v>
      </c>
      <c r="L355" s="6">
        <v>0.44900000000000001</v>
      </c>
      <c r="M355" s="6">
        <v>5.4000000000000006E-2</v>
      </c>
      <c r="N355" s="6">
        <v>2.36</v>
      </c>
      <c r="O355" s="23" t="s">
        <v>52</v>
      </c>
    </row>
    <row r="356" spans="1:15" x14ac:dyDescent="0.25">
      <c r="A356" s="12" t="s">
        <v>22</v>
      </c>
      <c r="B356" s="2">
        <v>354</v>
      </c>
      <c r="C356" s="6">
        <v>349762.7</v>
      </c>
      <c r="D356" s="6">
        <v>6498096</v>
      </c>
      <c r="E356" s="3" t="s">
        <v>19</v>
      </c>
      <c r="F356" s="2" t="s">
        <v>20</v>
      </c>
      <c r="G356" s="3">
        <v>157.80000000000001</v>
      </c>
      <c r="H356" s="15">
        <v>24.2</v>
      </c>
      <c r="I356" s="15">
        <v>13.7</v>
      </c>
      <c r="J356" s="15">
        <v>62.2</v>
      </c>
      <c r="K356" s="6">
        <v>1.55</v>
      </c>
      <c r="L356" s="6">
        <v>0.39700000000000002</v>
      </c>
      <c r="M356" s="6">
        <v>0.115</v>
      </c>
      <c r="N356" s="6">
        <v>2.21</v>
      </c>
      <c r="O356" s="23" t="s">
        <v>52</v>
      </c>
    </row>
    <row r="357" spans="1:15" x14ac:dyDescent="0.25">
      <c r="A357" s="12" t="s">
        <v>22</v>
      </c>
      <c r="B357" s="2">
        <v>355</v>
      </c>
      <c r="C357" s="6">
        <v>349641.3</v>
      </c>
      <c r="D357" s="6">
        <v>6498188</v>
      </c>
      <c r="E357" s="3" t="s">
        <v>19</v>
      </c>
      <c r="F357" s="2" t="s">
        <v>20</v>
      </c>
      <c r="G357" s="3">
        <v>15.9</v>
      </c>
      <c r="H357" s="15">
        <v>22.2</v>
      </c>
      <c r="I357" s="15">
        <v>15</v>
      </c>
      <c r="J357" s="15">
        <v>62.8</v>
      </c>
      <c r="K357" s="6">
        <v>1.2989999999999999</v>
      </c>
      <c r="L357" s="6">
        <v>0.47499999999999998</v>
      </c>
      <c r="M357" s="6">
        <v>2.5000000000000001E-2</v>
      </c>
      <c r="N357" s="6">
        <v>2.4300000000000002</v>
      </c>
      <c r="O357" s="23" t="s">
        <v>52</v>
      </c>
    </row>
    <row r="358" spans="1:15" x14ac:dyDescent="0.25">
      <c r="A358" s="12" t="s">
        <v>22</v>
      </c>
      <c r="B358" s="2">
        <v>356</v>
      </c>
      <c r="C358" s="6">
        <v>349519.9</v>
      </c>
      <c r="D358" s="6">
        <v>6498280</v>
      </c>
      <c r="E358" s="3" t="s">
        <v>19</v>
      </c>
      <c r="F358" s="2" t="s">
        <v>20</v>
      </c>
      <c r="G358" s="3">
        <v>32.1</v>
      </c>
      <c r="H358" s="15">
        <v>12.1</v>
      </c>
      <c r="I358" s="15">
        <v>12.6</v>
      </c>
      <c r="J358" s="15">
        <v>75.3</v>
      </c>
      <c r="K358" s="6">
        <v>1.7350000000000001</v>
      </c>
      <c r="L358" s="6">
        <v>0.28800000000000003</v>
      </c>
      <c r="M358" s="6">
        <v>8.3000000000000004E-2</v>
      </c>
      <c r="N358" s="6">
        <v>1.9</v>
      </c>
      <c r="O358" s="23" t="s">
        <v>52</v>
      </c>
    </row>
    <row r="359" spans="1:15" x14ac:dyDescent="0.25">
      <c r="A359" s="12" t="s">
        <v>22</v>
      </c>
      <c r="B359" s="2">
        <v>357</v>
      </c>
      <c r="C359" s="6">
        <v>349398.5</v>
      </c>
      <c r="D359" s="6">
        <v>6498372</v>
      </c>
      <c r="E359" s="3" t="s">
        <v>19</v>
      </c>
      <c r="F359" s="2" t="s">
        <v>20</v>
      </c>
      <c r="G359" s="3">
        <v>135.9</v>
      </c>
      <c r="H359" s="15">
        <v>12.8</v>
      </c>
      <c r="I359" s="15">
        <v>9.9</v>
      </c>
      <c r="J359" s="15">
        <v>77.2</v>
      </c>
      <c r="K359" s="6">
        <v>1.601</v>
      </c>
      <c r="L359" s="6">
        <v>0.39</v>
      </c>
      <c r="M359" s="6">
        <v>0.15</v>
      </c>
      <c r="N359" s="6">
        <v>2.0099999999999998</v>
      </c>
      <c r="O359" s="23" t="s">
        <v>52</v>
      </c>
    </row>
    <row r="360" spans="1:15" x14ac:dyDescent="0.25">
      <c r="A360" s="12" t="s">
        <v>22</v>
      </c>
      <c r="B360" s="2">
        <v>358</v>
      </c>
      <c r="C360" s="6">
        <v>349277</v>
      </c>
      <c r="D360" s="6">
        <v>6498464</v>
      </c>
      <c r="E360" s="3" t="s">
        <v>19</v>
      </c>
      <c r="F360" s="2" t="s">
        <v>20</v>
      </c>
      <c r="G360" s="3">
        <v>73.000799999999998</v>
      </c>
      <c r="H360" s="15">
        <v>17.899999999999999</v>
      </c>
      <c r="I360" s="15">
        <v>15.1</v>
      </c>
      <c r="J360" s="15">
        <v>67</v>
      </c>
      <c r="K360" s="6">
        <v>1.5009999999999999</v>
      </c>
      <c r="L360" s="6">
        <v>0.41100000000000003</v>
      </c>
      <c r="M360" s="6">
        <v>0.17300000000000001</v>
      </c>
      <c r="N360" s="6">
        <v>2.04</v>
      </c>
      <c r="O360" s="23" t="s">
        <v>52</v>
      </c>
    </row>
    <row r="361" spans="1:15" x14ac:dyDescent="0.25">
      <c r="A361" s="12" t="s">
        <v>22</v>
      </c>
      <c r="B361" s="2">
        <v>359</v>
      </c>
      <c r="C361" s="6">
        <v>349155.6</v>
      </c>
      <c r="D361" s="6">
        <v>6498556</v>
      </c>
      <c r="E361" s="3" t="s">
        <v>19</v>
      </c>
      <c r="F361" s="2" t="s">
        <v>20</v>
      </c>
      <c r="G361" s="3">
        <v>260.5992</v>
      </c>
      <c r="H361" s="15">
        <v>15.3</v>
      </c>
      <c r="I361" s="15">
        <v>13.4</v>
      </c>
      <c r="J361" s="15">
        <v>71.3</v>
      </c>
      <c r="K361" s="6">
        <v>1.498</v>
      </c>
      <c r="L361" s="6">
        <v>0.41299999999999998</v>
      </c>
      <c r="M361" s="6">
        <v>0.184</v>
      </c>
      <c r="N361" s="6">
        <v>1.95</v>
      </c>
      <c r="O361" s="23" t="s">
        <v>52</v>
      </c>
    </row>
    <row r="362" spans="1:15" x14ac:dyDescent="0.25">
      <c r="A362" s="12" t="s">
        <v>22</v>
      </c>
      <c r="B362" s="2">
        <v>360</v>
      </c>
      <c r="C362" s="6">
        <v>349034.2</v>
      </c>
      <c r="D362" s="6">
        <v>6498648</v>
      </c>
      <c r="E362" s="3" t="s">
        <v>19</v>
      </c>
      <c r="F362" s="2" t="s">
        <v>20</v>
      </c>
      <c r="G362" s="3">
        <v>74.500799999999998</v>
      </c>
      <c r="H362" s="15">
        <v>15</v>
      </c>
      <c r="I362" s="15">
        <v>18</v>
      </c>
      <c r="J362" s="15">
        <v>67</v>
      </c>
      <c r="K362" s="6">
        <v>1.341</v>
      </c>
      <c r="L362" s="6">
        <v>0.45500000000000002</v>
      </c>
      <c r="M362" s="6">
        <v>0.14099999999999999</v>
      </c>
      <c r="N362" s="6">
        <v>2.2599999999999998</v>
      </c>
      <c r="O362" s="23" t="s">
        <v>52</v>
      </c>
    </row>
    <row r="363" spans="1:15" x14ac:dyDescent="0.25">
      <c r="A363" s="12" t="s">
        <v>22</v>
      </c>
      <c r="B363" s="2">
        <v>361</v>
      </c>
      <c r="C363" s="6">
        <v>348912.8</v>
      </c>
      <c r="D363" s="6">
        <v>6498740</v>
      </c>
      <c r="E363" s="3" t="s">
        <v>19</v>
      </c>
      <c r="F363" s="2" t="s">
        <v>20</v>
      </c>
      <c r="G363" s="3">
        <v>14.800799999999999</v>
      </c>
      <c r="H363" s="15">
        <v>18.100000000000001</v>
      </c>
      <c r="I363" s="15">
        <v>14.1</v>
      </c>
      <c r="J363" s="15">
        <v>67.8</v>
      </c>
      <c r="K363" s="6">
        <v>1.5840000000000001</v>
      </c>
      <c r="L363" s="6">
        <v>0.37</v>
      </c>
      <c r="M363" s="6">
        <v>0.113</v>
      </c>
      <c r="N363" s="6">
        <v>2.04</v>
      </c>
      <c r="O363" s="23" t="s">
        <v>52</v>
      </c>
    </row>
    <row r="364" spans="1:15" x14ac:dyDescent="0.25">
      <c r="A364" s="12" t="s">
        <v>22</v>
      </c>
      <c r="B364" s="2">
        <v>362</v>
      </c>
      <c r="C364" s="6">
        <v>348791.3</v>
      </c>
      <c r="D364" s="6">
        <v>6498832</v>
      </c>
      <c r="E364" s="3" t="s">
        <v>19</v>
      </c>
      <c r="F364" s="2" t="s">
        <v>20</v>
      </c>
      <c r="G364" s="3">
        <v>12.3</v>
      </c>
      <c r="H364" s="15">
        <v>26.7</v>
      </c>
      <c r="I364" s="15">
        <v>43.5</v>
      </c>
      <c r="J364" s="15">
        <v>29.8</v>
      </c>
      <c r="K364" s="6">
        <v>1.0820000000000001</v>
      </c>
      <c r="L364" s="6">
        <v>0.53600000000000003</v>
      </c>
      <c r="M364" s="6">
        <v>0.114</v>
      </c>
      <c r="N364" s="6">
        <v>2.59</v>
      </c>
      <c r="O364" s="23" t="s">
        <v>53</v>
      </c>
    </row>
    <row r="365" spans="1:15" x14ac:dyDescent="0.25">
      <c r="A365" s="12" t="s">
        <v>22</v>
      </c>
      <c r="B365" s="2">
        <v>363</v>
      </c>
      <c r="C365" s="6">
        <v>348669.9</v>
      </c>
      <c r="D365" s="6">
        <v>6498924</v>
      </c>
      <c r="E365" s="3" t="s">
        <v>19</v>
      </c>
      <c r="F365" s="2" t="s">
        <v>20</v>
      </c>
      <c r="G365" s="3">
        <v>441.4008</v>
      </c>
      <c r="H365" s="15">
        <v>10.4</v>
      </c>
      <c r="I365" s="15">
        <v>6.1</v>
      </c>
      <c r="J365" s="15">
        <v>83.6</v>
      </c>
      <c r="K365" s="6">
        <v>1.119</v>
      </c>
      <c r="L365" s="6">
        <v>0.55799999999999994</v>
      </c>
      <c r="M365" s="6">
        <v>0.33399999999999996</v>
      </c>
      <c r="N365" s="6">
        <v>2.2999999999999998</v>
      </c>
      <c r="O365" s="23" t="s">
        <v>53</v>
      </c>
    </row>
    <row r="366" spans="1:15" x14ac:dyDescent="0.25">
      <c r="A366" s="12" t="s">
        <v>22</v>
      </c>
      <c r="B366" s="2">
        <v>364</v>
      </c>
      <c r="C366" s="6">
        <v>348548.5</v>
      </c>
      <c r="D366" s="6">
        <v>6499016</v>
      </c>
      <c r="E366" s="3" t="s">
        <v>19</v>
      </c>
      <c r="F366" s="2" t="s">
        <v>20</v>
      </c>
      <c r="G366" s="3">
        <v>109.2</v>
      </c>
      <c r="H366" s="15">
        <v>21.9</v>
      </c>
      <c r="I366" s="15">
        <v>14</v>
      </c>
      <c r="J366" s="15">
        <v>64.099999999999994</v>
      </c>
      <c r="K366" s="6">
        <v>1.3220000000000001</v>
      </c>
      <c r="L366" s="6">
        <v>0.45299999999999996</v>
      </c>
      <c r="M366" s="6">
        <v>0.124</v>
      </c>
      <c r="N366" s="6">
        <v>2.38</v>
      </c>
      <c r="O366" s="23" t="s">
        <v>52</v>
      </c>
    </row>
    <row r="367" spans="1:15" x14ac:dyDescent="0.25">
      <c r="A367" s="12" t="s">
        <v>22</v>
      </c>
      <c r="B367" s="2">
        <v>365</v>
      </c>
      <c r="C367" s="6">
        <v>348427.1</v>
      </c>
      <c r="D367" s="6">
        <v>6499108</v>
      </c>
      <c r="E367" s="3" t="s">
        <v>19</v>
      </c>
      <c r="F367" s="2" t="s">
        <v>20</v>
      </c>
      <c r="G367" s="3">
        <v>147.4008</v>
      </c>
      <c r="H367" s="15">
        <v>18.600000000000001</v>
      </c>
      <c r="I367" s="15">
        <v>12.2</v>
      </c>
      <c r="J367" s="15">
        <v>69.2</v>
      </c>
      <c r="K367" s="6">
        <v>1.4490000000000001</v>
      </c>
      <c r="L367" s="6">
        <v>0.434</v>
      </c>
      <c r="M367" s="6">
        <v>0.16</v>
      </c>
      <c r="N367" s="6">
        <v>2.09</v>
      </c>
      <c r="O367" s="23" t="s">
        <v>52</v>
      </c>
    </row>
    <row r="368" spans="1:15" x14ac:dyDescent="0.25">
      <c r="A368" s="12" t="s">
        <v>22</v>
      </c>
      <c r="B368" s="2">
        <v>366</v>
      </c>
      <c r="C368" s="6">
        <v>348305.7</v>
      </c>
      <c r="D368" s="6">
        <v>6499200</v>
      </c>
      <c r="E368" s="3" t="s">
        <v>19</v>
      </c>
      <c r="F368" s="2" t="s">
        <v>20</v>
      </c>
      <c r="G368" s="3">
        <v>20.400000000000002</v>
      </c>
      <c r="H368" s="15">
        <v>22.9</v>
      </c>
      <c r="I368" s="15">
        <v>12.9</v>
      </c>
      <c r="J368" s="15">
        <v>64.2</v>
      </c>
      <c r="K368" s="6">
        <v>1.3149999999999999</v>
      </c>
      <c r="L368" s="6">
        <v>0.503</v>
      </c>
      <c r="M368" s="6">
        <v>7.2000000000000008E-2</v>
      </c>
      <c r="N368" s="6">
        <v>2.61</v>
      </c>
      <c r="O368" s="23" t="s">
        <v>52</v>
      </c>
    </row>
    <row r="369" spans="1:15" x14ac:dyDescent="0.25">
      <c r="A369" s="12" t="s">
        <v>22</v>
      </c>
      <c r="B369" s="2">
        <v>367</v>
      </c>
      <c r="C369" s="6">
        <v>348184.2</v>
      </c>
      <c r="D369" s="6">
        <v>6499292</v>
      </c>
      <c r="E369" s="3" t="s">
        <v>19</v>
      </c>
      <c r="F369" s="2" t="s">
        <v>20</v>
      </c>
      <c r="G369" s="3">
        <v>83.200800000000015</v>
      </c>
      <c r="H369" s="15">
        <v>21.6</v>
      </c>
      <c r="I369" s="15">
        <v>16.100000000000001</v>
      </c>
      <c r="J369" s="15">
        <v>62.2</v>
      </c>
      <c r="K369" s="6">
        <v>1.482</v>
      </c>
      <c r="L369" s="6">
        <v>0.42799999999999999</v>
      </c>
      <c r="M369" s="6">
        <v>0.107</v>
      </c>
      <c r="N369" s="6">
        <v>2.2799999999999998</v>
      </c>
      <c r="O369" s="23" t="s">
        <v>52</v>
      </c>
    </row>
    <row r="370" spans="1:15" x14ac:dyDescent="0.25">
      <c r="A370" s="12" t="s">
        <v>22</v>
      </c>
      <c r="B370" s="2">
        <v>368</v>
      </c>
      <c r="C370" s="6">
        <v>348062.8</v>
      </c>
      <c r="D370" s="6">
        <v>6499384</v>
      </c>
      <c r="E370" s="3" t="s">
        <v>19</v>
      </c>
      <c r="F370" s="2" t="s">
        <v>20</v>
      </c>
      <c r="G370" s="3">
        <v>31.9008</v>
      </c>
      <c r="H370" s="15">
        <v>28.9</v>
      </c>
      <c r="I370" s="15">
        <v>13.8</v>
      </c>
      <c r="J370" s="15">
        <v>57.3</v>
      </c>
      <c r="K370" s="6">
        <v>1.375</v>
      </c>
      <c r="L370" s="6">
        <v>0.46</v>
      </c>
      <c r="M370" s="6">
        <v>0.126</v>
      </c>
      <c r="N370" s="6">
        <v>2.17</v>
      </c>
      <c r="O370" s="23" t="s">
        <v>52</v>
      </c>
    </row>
    <row r="371" spans="1:15" ht="15.75" thickBot="1" x14ac:dyDescent="0.3">
      <c r="A371" s="7" t="s">
        <v>22</v>
      </c>
      <c r="B371" s="2">
        <v>369</v>
      </c>
      <c r="C371" s="9">
        <v>347941.4</v>
      </c>
      <c r="D371" s="9">
        <v>6499476</v>
      </c>
      <c r="E371" s="9" t="s">
        <v>19</v>
      </c>
      <c r="F371" s="8" t="s">
        <v>20</v>
      </c>
      <c r="G371" s="9">
        <v>208.0008</v>
      </c>
      <c r="H371" s="17">
        <v>29.6</v>
      </c>
      <c r="I371" s="17">
        <v>14.2</v>
      </c>
      <c r="J371" s="17">
        <v>56.2</v>
      </c>
      <c r="K371" s="9">
        <v>1.107</v>
      </c>
      <c r="L371" s="9">
        <v>0.55899999999999994</v>
      </c>
      <c r="M371" s="9">
        <v>0.22500000000000001</v>
      </c>
      <c r="N371" s="9">
        <v>2.5</v>
      </c>
      <c r="O371" s="23" t="s">
        <v>53</v>
      </c>
    </row>
    <row r="372" spans="1:15" x14ac:dyDescent="0.25">
      <c r="A372" s="1" t="s">
        <v>23</v>
      </c>
      <c r="B372" s="2">
        <v>370</v>
      </c>
      <c r="C372" s="3">
        <v>264249.34191915003</v>
      </c>
      <c r="D372" s="3">
        <v>7366096.0875910996</v>
      </c>
      <c r="E372" s="3" t="s">
        <v>19</v>
      </c>
      <c r="F372" s="2" t="s">
        <v>24</v>
      </c>
      <c r="G372" s="3">
        <v>174.61570899225086</v>
      </c>
      <c r="H372" s="4">
        <v>85</v>
      </c>
      <c r="I372" s="4">
        <v>2</v>
      </c>
      <c r="J372" s="4">
        <v>13</v>
      </c>
      <c r="K372" s="5">
        <v>1.5838799999999997</v>
      </c>
      <c r="L372" s="5">
        <v>0.40230943396226432</v>
      </c>
      <c r="M372" s="3">
        <v>0.26970000000000027</v>
      </c>
      <c r="N372" s="3">
        <v>0.13239999999999999</v>
      </c>
      <c r="O372" s="23" t="s">
        <v>55</v>
      </c>
    </row>
    <row r="373" spans="1:15" x14ac:dyDescent="0.25">
      <c r="A373" s="1" t="s">
        <v>23</v>
      </c>
      <c r="B373" s="2">
        <v>371</v>
      </c>
      <c r="C373" s="3">
        <v>264249.34191915003</v>
      </c>
      <c r="D373" s="3">
        <v>7366096.0875910996</v>
      </c>
      <c r="E373" s="3" t="s">
        <v>19</v>
      </c>
      <c r="F373" s="2" t="s">
        <v>24</v>
      </c>
      <c r="G373" s="3">
        <v>750.84754866667868</v>
      </c>
      <c r="H373" s="4">
        <v>85</v>
      </c>
      <c r="I373" s="4">
        <v>2</v>
      </c>
      <c r="J373" s="4">
        <v>13</v>
      </c>
      <c r="K373" s="5">
        <v>1.4713100000000003</v>
      </c>
      <c r="L373" s="5">
        <v>0.44894756554307103</v>
      </c>
      <c r="M373" s="3">
        <v>0.25049999999999983</v>
      </c>
      <c r="N373" s="3">
        <v>0.15229999999999999</v>
      </c>
      <c r="O373" s="23" t="s">
        <v>55</v>
      </c>
    </row>
    <row r="374" spans="1:15" x14ac:dyDescent="0.25">
      <c r="A374" s="1" t="s">
        <v>23</v>
      </c>
      <c r="B374" s="2">
        <v>372</v>
      </c>
      <c r="C374" s="3">
        <v>264249.34191915003</v>
      </c>
      <c r="D374" s="3">
        <v>7366096.0875910996</v>
      </c>
      <c r="E374" s="3" t="s">
        <v>19</v>
      </c>
      <c r="F374" s="2" t="s">
        <v>24</v>
      </c>
      <c r="G374" s="3">
        <v>6679.0475294298321</v>
      </c>
      <c r="H374" s="4">
        <v>86</v>
      </c>
      <c r="I374" s="4">
        <v>2</v>
      </c>
      <c r="J374" s="4">
        <v>12</v>
      </c>
      <c r="K374" s="5">
        <v>1.60338</v>
      </c>
      <c r="L374" s="5">
        <v>0.40394795539033462</v>
      </c>
      <c r="M374" s="3">
        <v>0.2542999999999998</v>
      </c>
      <c r="N374" s="3">
        <v>0.1258</v>
      </c>
      <c r="O374" s="23" t="s">
        <v>55</v>
      </c>
    </row>
    <row r="375" spans="1:15" x14ac:dyDescent="0.25">
      <c r="A375" s="1" t="s">
        <v>23</v>
      </c>
      <c r="B375" s="2">
        <v>373</v>
      </c>
      <c r="C375" s="3">
        <v>264249.34191915003</v>
      </c>
      <c r="D375" s="3">
        <v>7366096.0875910996</v>
      </c>
      <c r="E375" s="3" t="s">
        <v>19</v>
      </c>
      <c r="F375" s="2" t="s">
        <v>24</v>
      </c>
      <c r="G375" s="3">
        <v>90.800168675970454</v>
      </c>
      <c r="H375" s="4">
        <v>87</v>
      </c>
      <c r="I375" s="4">
        <v>2</v>
      </c>
      <c r="J375" s="4">
        <v>11</v>
      </c>
      <c r="K375" s="5">
        <v>1.6306399999999999</v>
      </c>
      <c r="L375" s="5">
        <v>0.38927340823970036</v>
      </c>
      <c r="M375" s="3">
        <v>0.23089999999999972</v>
      </c>
      <c r="N375" s="3">
        <v>9.5799999999999996E-2</v>
      </c>
      <c r="O375" s="23" t="s">
        <v>55</v>
      </c>
    </row>
    <row r="376" spans="1:15" x14ac:dyDescent="0.25">
      <c r="A376" s="1" t="s">
        <v>23</v>
      </c>
      <c r="B376" s="2">
        <v>374</v>
      </c>
      <c r="C376" s="3">
        <v>264249.34191915003</v>
      </c>
      <c r="D376" s="3">
        <v>7366096.0875910996</v>
      </c>
      <c r="E376" s="3" t="s">
        <v>19</v>
      </c>
      <c r="F376" s="2" t="s">
        <v>24</v>
      </c>
      <c r="G376" s="3">
        <v>261.92356348837626</v>
      </c>
      <c r="H376" s="4">
        <v>86</v>
      </c>
      <c r="I376" s="4">
        <v>2</v>
      </c>
      <c r="J376" s="4">
        <v>12</v>
      </c>
      <c r="K376" s="5">
        <v>1.5691500000000003</v>
      </c>
      <c r="L376" s="5">
        <v>0.4144962686567164</v>
      </c>
      <c r="M376" s="3">
        <v>0.22009999999999991</v>
      </c>
      <c r="N376" s="3">
        <v>0.10710000000000001</v>
      </c>
      <c r="O376" s="23" t="s">
        <v>55</v>
      </c>
    </row>
    <row r="377" spans="1:15" x14ac:dyDescent="0.25">
      <c r="A377" s="1" t="s">
        <v>23</v>
      </c>
      <c r="B377" s="2">
        <v>375</v>
      </c>
      <c r="C377" s="3">
        <v>264249.34191915003</v>
      </c>
      <c r="D377" s="3">
        <v>7366096.0875910996</v>
      </c>
      <c r="E377" s="3" t="s">
        <v>19</v>
      </c>
      <c r="F377" s="2" t="s">
        <v>24</v>
      </c>
      <c r="G377" s="3">
        <v>146.67719555349075</v>
      </c>
      <c r="H377" s="4">
        <v>86</v>
      </c>
      <c r="I377" s="4">
        <v>2</v>
      </c>
      <c r="J377" s="4">
        <v>12</v>
      </c>
      <c r="K377" s="5">
        <v>1.56982</v>
      </c>
      <c r="L377" s="5">
        <v>0.40761509433962262</v>
      </c>
      <c r="M377" s="3">
        <v>0.21790000000000018</v>
      </c>
      <c r="N377" s="3">
        <v>7.5499999999999998E-2</v>
      </c>
      <c r="O377" s="23" t="s">
        <v>55</v>
      </c>
    </row>
    <row r="378" spans="1:15" x14ac:dyDescent="0.25">
      <c r="A378" s="1" t="s">
        <v>23</v>
      </c>
      <c r="B378" s="2">
        <v>376</v>
      </c>
      <c r="C378" s="3">
        <v>264249.34191915003</v>
      </c>
      <c r="D378" s="3">
        <v>7366096.0875910996</v>
      </c>
      <c r="E378" s="3" t="s">
        <v>19</v>
      </c>
      <c r="F378" s="2" t="s">
        <v>25</v>
      </c>
      <c r="G378" s="3">
        <v>20.953885079070105</v>
      </c>
      <c r="H378" s="4">
        <v>85</v>
      </c>
      <c r="I378" s="4">
        <v>1</v>
      </c>
      <c r="J378" s="4">
        <v>14</v>
      </c>
      <c r="K378" s="5">
        <v>1.63951</v>
      </c>
      <c r="L378" s="5">
        <v>0.392774074074074</v>
      </c>
      <c r="M378" s="3">
        <v>0.22759999999999991</v>
      </c>
      <c r="N378" s="3">
        <v>4.1599999999999998E-2</v>
      </c>
      <c r="O378" s="23" t="s">
        <v>55</v>
      </c>
    </row>
    <row r="379" spans="1:15" x14ac:dyDescent="0.25">
      <c r="A379" s="1" t="s">
        <v>23</v>
      </c>
      <c r="B379" s="2">
        <v>377</v>
      </c>
      <c r="C379" s="3">
        <v>264249.34191915003</v>
      </c>
      <c r="D379" s="3">
        <v>7366096.0875910996</v>
      </c>
      <c r="E379" s="3" t="s">
        <v>19</v>
      </c>
      <c r="F379" s="2" t="s">
        <v>25</v>
      </c>
      <c r="G379" s="3">
        <v>663.53969417055339</v>
      </c>
      <c r="H379" s="4">
        <v>84</v>
      </c>
      <c r="I379" s="4">
        <v>2</v>
      </c>
      <c r="J379" s="4">
        <v>14</v>
      </c>
      <c r="K379" s="5">
        <v>1.6288800000000001</v>
      </c>
      <c r="L379" s="5">
        <v>0.39671111111111107</v>
      </c>
      <c r="M379" s="3">
        <v>0.23280000000000028</v>
      </c>
      <c r="N379" s="3">
        <v>7.4400000000000008E-2</v>
      </c>
      <c r="O379" s="23" t="s">
        <v>55</v>
      </c>
    </row>
    <row r="380" spans="1:15" x14ac:dyDescent="0.25">
      <c r="A380" s="1" t="s">
        <v>23</v>
      </c>
      <c r="B380" s="2">
        <v>378</v>
      </c>
      <c r="C380" s="3">
        <v>264249.34191915003</v>
      </c>
      <c r="D380" s="3">
        <v>7366096.0875910996</v>
      </c>
      <c r="E380" s="3" t="s">
        <v>19</v>
      </c>
      <c r="F380" s="2" t="s">
        <v>25</v>
      </c>
      <c r="G380" s="3">
        <v>20.953885079070105</v>
      </c>
      <c r="H380" s="4">
        <v>87</v>
      </c>
      <c r="I380" s="4">
        <v>1</v>
      </c>
      <c r="J380" s="4">
        <v>12</v>
      </c>
      <c r="K380" s="5">
        <v>1.7325299999999999</v>
      </c>
      <c r="L380" s="5">
        <v>0.36304044117647072</v>
      </c>
      <c r="M380" s="3">
        <v>0.22170000000000015</v>
      </c>
      <c r="N380" s="3">
        <v>5.45E-2</v>
      </c>
      <c r="O380" s="23" t="s">
        <v>55</v>
      </c>
    </row>
    <row r="381" spans="1:15" x14ac:dyDescent="0.25">
      <c r="A381" s="1" t="s">
        <v>23</v>
      </c>
      <c r="B381" s="2">
        <v>379</v>
      </c>
      <c r="C381" s="3">
        <v>264249.34191915003</v>
      </c>
      <c r="D381" s="3">
        <v>7366096.0875910996</v>
      </c>
      <c r="E381" s="3" t="s">
        <v>19</v>
      </c>
      <c r="F381" s="2" t="s">
        <v>25</v>
      </c>
      <c r="G381" s="3">
        <v>94.292482855815507</v>
      </c>
      <c r="H381" s="4">
        <v>87</v>
      </c>
      <c r="I381" s="4">
        <v>2</v>
      </c>
      <c r="J381" s="4">
        <v>11</v>
      </c>
      <c r="K381" s="5">
        <v>1.6548400000000001</v>
      </c>
      <c r="L381" s="5">
        <v>0.38481784386617091</v>
      </c>
      <c r="M381" s="3">
        <v>0.22680000000000006</v>
      </c>
      <c r="N381" s="3">
        <v>5.5300000000000002E-2</v>
      </c>
      <c r="O381" s="23" t="s">
        <v>55</v>
      </c>
    </row>
    <row r="382" spans="1:15" x14ac:dyDescent="0.25">
      <c r="A382" s="1" t="s">
        <v>23</v>
      </c>
      <c r="B382" s="2">
        <v>380</v>
      </c>
      <c r="C382" s="3">
        <v>264249.34191915003</v>
      </c>
      <c r="D382" s="3">
        <v>7366096.0875910996</v>
      </c>
      <c r="E382" s="3" t="s">
        <v>19</v>
      </c>
      <c r="F382" s="2" t="s">
        <v>25</v>
      </c>
      <c r="G382" s="3">
        <v>48.89239851783023</v>
      </c>
      <c r="H382" s="4">
        <v>85</v>
      </c>
      <c r="I382" s="4">
        <v>1</v>
      </c>
      <c r="J382" s="4">
        <v>14</v>
      </c>
      <c r="K382" s="5">
        <v>1.57463</v>
      </c>
      <c r="L382" s="5">
        <v>0.4124514925373135</v>
      </c>
      <c r="M382" s="3">
        <v>0.22079999999999983</v>
      </c>
      <c r="N382" s="3">
        <v>6.7000000000000004E-2</v>
      </c>
      <c r="O382" s="23" t="s">
        <v>55</v>
      </c>
    </row>
    <row r="383" spans="1:15" x14ac:dyDescent="0.25">
      <c r="A383" s="1" t="s">
        <v>23</v>
      </c>
      <c r="B383" s="2">
        <v>381</v>
      </c>
      <c r="C383" s="3">
        <v>264249.34191915003</v>
      </c>
      <c r="D383" s="3">
        <v>7366096.0875910996</v>
      </c>
      <c r="E383" s="3" t="s">
        <v>19</v>
      </c>
      <c r="F383" s="2" t="s">
        <v>25</v>
      </c>
      <c r="G383" s="3">
        <v>2.2775962042467501</v>
      </c>
      <c r="H383" s="4">
        <v>86</v>
      </c>
      <c r="I383" s="4">
        <v>2</v>
      </c>
      <c r="J383" s="4">
        <v>12</v>
      </c>
      <c r="K383" s="5">
        <v>1.5841900000000002</v>
      </c>
      <c r="L383" s="5">
        <v>0.40667041198501863</v>
      </c>
      <c r="M383" s="3">
        <v>0.22319999999999993</v>
      </c>
      <c r="N383" s="3">
        <v>6.1900000000000004E-2</v>
      </c>
      <c r="O383" s="23" t="s">
        <v>55</v>
      </c>
    </row>
    <row r="384" spans="1:15" x14ac:dyDescent="0.25">
      <c r="A384" s="1" t="s">
        <v>23</v>
      </c>
      <c r="B384" s="2">
        <v>382</v>
      </c>
      <c r="C384" s="3">
        <v>264249.34191915003</v>
      </c>
      <c r="D384" s="3">
        <v>7366096.0875910996</v>
      </c>
      <c r="E384" s="3" t="s">
        <v>19</v>
      </c>
      <c r="F384" s="2" t="s">
        <v>26</v>
      </c>
      <c r="G384" s="3">
        <v>45.400084337985227</v>
      </c>
      <c r="H384" s="4">
        <v>80</v>
      </c>
      <c r="I384" s="4">
        <v>2</v>
      </c>
      <c r="J384" s="4">
        <v>18</v>
      </c>
      <c r="K384" s="5">
        <v>1.56202</v>
      </c>
      <c r="L384" s="5">
        <v>0.42572794117647061</v>
      </c>
      <c r="M384" s="3">
        <v>0.24910000000000024</v>
      </c>
      <c r="N384" s="3">
        <v>4.0899999999999999E-2</v>
      </c>
      <c r="O384" s="23" t="s">
        <v>55</v>
      </c>
    </row>
    <row r="385" spans="1:15" x14ac:dyDescent="0.25">
      <c r="A385" s="1" t="s">
        <v>23</v>
      </c>
      <c r="B385" s="2">
        <v>383</v>
      </c>
      <c r="C385" s="3">
        <v>264249.34191915003</v>
      </c>
      <c r="D385" s="3">
        <v>7366096.0875910996</v>
      </c>
      <c r="E385" s="3" t="s">
        <v>19</v>
      </c>
      <c r="F385" s="2" t="s">
        <v>26</v>
      </c>
      <c r="G385" s="3">
        <v>66.353969417055325</v>
      </c>
      <c r="H385" s="4">
        <v>83</v>
      </c>
      <c r="I385" s="4">
        <v>2</v>
      </c>
      <c r="J385" s="4">
        <v>15</v>
      </c>
      <c r="K385" s="5">
        <v>1.6265899999999995</v>
      </c>
      <c r="L385" s="5">
        <v>0.39978228782287833</v>
      </c>
      <c r="M385" s="3">
        <v>0.22530000000000031</v>
      </c>
      <c r="N385" s="3">
        <v>5.3699999999999998E-2</v>
      </c>
      <c r="O385" s="23" t="s">
        <v>55</v>
      </c>
    </row>
    <row r="386" spans="1:15" x14ac:dyDescent="0.25">
      <c r="A386" s="1" t="s">
        <v>23</v>
      </c>
      <c r="B386" s="2">
        <v>384</v>
      </c>
      <c r="C386" s="3">
        <v>264249.34191915003</v>
      </c>
      <c r="D386" s="3">
        <v>7366096.0875910996</v>
      </c>
      <c r="E386" s="3" t="s">
        <v>19</v>
      </c>
      <c r="F386" s="2" t="s">
        <v>26</v>
      </c>
      <c r="G386" s="3">
        <v>9.4292482855815472</v>
      </c>
      <c r="H386" s="4">
        <v>83</v>
      </c>
      <c r="I386" s="4">
        <v>2</v>
      </c>
      <c r="J386" s="4">
        <v>15</v>
      </c>
      <c r="K386" s="5">
        <v>1.6544199999999998</v>
      </c>
      <c r="L386" s="5">
        <v>0.38267910447761211</v>
      </c>
      <c r="M386" s="3">
        <v>0.22460000000000035</v>
      </c>
      <c r="N386" s="3">
        <v>5.2499999999999998E-2</v>
      </c>
      <c r="O386" s="23" t="s">
        <v>55</v>
      </c>
    </row>
    <row r="387" spans="1:15" x14ac:dyDescent="0.25">
      <c r="A387" s="1" t="s">
        <v>23</v>
      </c>
      <c r="B387" s="2">
        <v>385</v>
      </c>
      <c r="C387" s="3">
        <v>264249.34191915003</v>
      </c>
      <c r="D387" s="3">
        <v>7366096.0875910996</v>
      </c>
      <c r="E387" s="3" t="s">
        <v>19</v>
      </c>
      <c r="F387" s="2" t="s">
        <v>26</v>
      </c>
      <c r="G387" s="3">
        <v>209.53885079070105</v>
      </c>
      <c r="H387" s="4">
        <v>85</v>
      </c>
      <c r="I387" s="4">
        <v>2</v>
      </c>
      <c r="J387" s="4">
        <v>13</v>
      </c>
      <c r="K387" s="5">
        <v>1.69371</v>
      </c>
      <c r="L387" s="5">
        <v>0.37501476014760149</v>
      </c>
      <c r="M387" s="3">
        <v>0.23539999999999964</v>
      </c>
      <c r="N387" s="3">
        <v>3.0299999999999997E-2</v>
      </c>
      <c r="O387" s="23" t="s">
        <v>55</v>
      </c>
    </row>
    <row r="388" spans="1:15" x14ac:dyDescent="0.25">
      <c r="A388" s="1" t="s">
        <v>23</v>
      </c>
      <c r="B388" s="2">
        <v>386</v>
      </c>
      <c r="C388" s="3">
        <v>264249.34191915003</v>
      </c>
      <c r="D388" s="3">
        <v>7366096.0875910996</v>
      </c>
      <c r="E388" s="3" t="s">
        <v>19</v>
      </c>
      <c r="F388" s="2" t="s">
        <v>26</v>
      </c>
      <c r="G388" s="3">
        <v>52.384712697675262</v>
      </c>
      <c r="H388" s="4">
        <v>86</v>
      </c>
      <c r="I388" s="4">
        <v>2</v>
      </c>
      <c r="J388" s="4">
        <v>12</v>
      </c>
      <c r="K388" s="5">
        <v>1.6022299999999998</v>
      </c>
      <c r="L388" s="5">
        <v>0.40437546468401497</v>
      </c>
      <c r="M388" s="3">
        <v>0.22150000000000006</v>
      </c>
      <c r="N388" s="3">
        <v>5.0199999999999995E-2</v>
      </c>
      <c r="O388" s="23" t="s">
        <v>55</v>
      </c>
    </row>
    <row r="389" spans="1:15" x14ac:dyDescent="0.25">
      <c r="A389" s="1" t="s">
        <v>23</v>
      </c>
      <c r="B389" s="2">
        <v>387</v>
      </c>
      <c r="C389" s="3">
        <v>264249.34191915003</v>
      </c>
      <c r="D389" s="3">
        <v>7366096.0875910996</v>
      </c>
      <c r="E389" s="3" t="s">
        <v>19</v>
      </c>
      <c r="F389" s="2" t="s">
        <v>26</v>
      </c>
      <c r="G389" s="3">
        <v>38.415455978295185</v>
      </c>
      <c r="H389" s="4">
        <v>86</v>
      </c>
      <c r="I389" s="4">
        <v>1</v>
      </c>
      <c r="J389" s="4">
        <v>13</v>
      </c>
      <c r="K389" s="5">
        <v>1.6493199999999999</v>
      </c>
      <c r="L389" s="5">
        <v>0.38686988847583648</v>
      </c>
      <c r="M389" s="3">
        <v>0.2269999999999999</v>
      </c>
      <c r="N389" s="3">
        <v>3.4200000000000001E-2</v>
      </c>
      <c r="O389" s="23" t="s">
        <v>55</v>
      </c>
    </row>
    <row r="390" spans="1:15" x14ac:dyDescent="0.25">
      <c r="A390" s="1" t="s">
        <v>23</v>
      </c>
      <c r="B390" s="2">
        <v>388</v>
      </c>
      <c r="C390" s="3">
        <v>264249.34191915003</v>
      </c>
      <c r="D390" s="3">
        <v>7366096.0875910996</v>
      </c>
      <c r="E390" s="3" t="s">
        <v>19</v>
      </c>
      <c r="F390" s="2" t="s">
        <v>27</v>
      </c>
      <c r="G390" s="3">
        <v>24.446199258915115</v>
      </c>
      <c r="H390" s="4">
        <v>75</v>
      </c>
      <c r="I390" s="4">
        <v>2</v>
      </c>
      <c r="J390" s="4">
        <v>23</v>
      </c>
      <c r="K390" s="5">
        <v>1.5564399999999998</v>
      </c>
      <c r="L390" s="5">
        <v>0.42566789667896687</v>
      </c>
      <c r="M390" s="3">
        <v>0.26430000000000009</v>
      </c>
      <c r="N390" s="3">
        <v>4.36E-2</v>
      </c>
      <c r="O390" s="23" t="s">
        <v>55</v>
      </c>
    </row>
    <row r="391" spans="1:15" x14ac:dyDescent="0.25">
      <c r="A391" s="1" t="s">
        <v>23</v>
      </c>
      <c r="B391" s="2">
        <v>389</v>
      </c>
      <c r="C391" s="3">
        <v>264249.34191915003</v>
      </c>
      <c r="D391" s="3">
        <v>7366096.0875910996</v>
      </c>
      <c r="E391" s="3" t="s">
        <v>19</v>
      </c>
      <c r="F391" s="2" t="s">
        <v>27</v>
      </c>
      <c r="G391" s="3">
        <v>4.0996731676441502</v>
      </c>
      <c r="H391" s="4">
        <v>83</v>
      </c>
      <c r="I391" s="4">
        <v>2</v>
      </c>
      <c r="J391" s="4">
        <v>15</v>
      </c>
      <c r="K391" s="5">
        <v>1.6971100000000001</v>
      </c>
      <c r="L391" s="5">
        <v>0.37606249999999997</v>
      </c>
      <c r="M391" s="3">
        <v>0.23539999999999967</v>
      </c>
      <c r="N391" s="3">
        <v>8.0199999999999994E-2</v>
      </c>
      <c r="O391" s="23" t="s">
        <v>55</v>
      </c>
    </row>
    <row r="392" spans="1:15" x14ac:dyDescent="0.25">
      <c r="A392" s="1" t="s">
        <v>23</v>
      </c>
      <c r="B392" s="2">
        <v>390</v>
      </c>
      <c r="C392" s="3">
        <v>264249.34191915003</v>
      </c>
      <c r="D392" s="3">
        <v>7366096.0875910996</v>
      </c>
      <c r="E392" s="3" t="s">
        <v>19</v>
      </c>
      <c r="F392" s="2" t="s">
        <v>27</v>
      </c>
      <c r="G392" s="3">
        <v>15.366182391318079</v>
      </c>
      <c r="H392" s="4">
        <v>80</v>
      </c>
      <c r="I392" s="4">
        <v>2</v>
      </c>
      <c r="J392" s="4">
        <v>18</v>
      </c>
      <c r="K392" s="5">
        <v>1.6328699999999998</v>
      </c>
      <c r="L392" s="5">
        <v>0.39746494464944659</v>
      </c>
      <c r="M392" s="3">
        <v>0.25430000000000008</v>
      </c>
      <c r="N392" s="3">
        <v>4.87E-2</v>
      </c>
      <c r="O392" s="23" t="s">
        <v>55</v>
      </c>
    </row>
    <row r="393" spans="1:15" x14ac:dyDescent="0.25">
      <c r="A393" s="1" t="s">
        <v>23</v>
      </c>
      <c r="B393" s="2">
        <v>391</v>
      </c>
      <c r="C393" s="3">
        <v>264249.34191915003</v>
      </c>
      <c r="D393" s="3">
        <v>7366096.0875910996</v>
      </c>
      <c r="E393" s="3" t="s">
        <v>19</v>
      </c>
      <c r="F393" s="2" t="s">
        <v>27</v>
      </c>
      <c r="G393" s="3">
        <v>24.446199258915115</v>
      </c>
      <c r="H393" s="4">
        <v>83</v>
      </c>
      <c r="I393" s="4">
        <v>2</v>
      </c>
      <c r="J393" s="4">
        <v>15</v>
      </c>
      <c r="K393" s="5">
        <v>1.6127900000000002</v>
      </c>
      <c r="L393" s="5">
        <v>0.40706249999999999</v>
      </c>
      <c r="M393" s="3">
        <v>0.22029999999999969</v>
      </c>
      <c r="N393" s="3">
        <v>2.53E-2</v>
      </c>
      <c r="O393" s="23" t="s">
        <v>55</v>
      </c>
    </row>
    <row r="394" spans="1:15" x14ac:dyDescent="0.25">
      <c r="A394" s="1" t="s">
        <v>23</v>
      </c>
      <c r="B394" s="2">
        <v>392</v>
      </c>
      <c r="C394" s="3">
        <v>264249.34191915003</v>
      </c>
      <c r="D394" s="3">
        <v>7366096.0875910996</v>
      </c>
      <c r="E394" s="3" t="s">
        <v>19</v>
      </c>
      <c r="F394" s="2" t="s">
        <v>27</v>
      </c>
      <c r="G394" s="3">
        <v>80.323226136435395</v>
      </c>
      <c r="H394" s="4">
        <v>84</v>
      </c>
      <c r="I394" s="4">
        <v>2</v>
      </c>
      <c r="J394" s="4">
        <v>14</v>
      </c>
      <c r="K394" s="5">
        <v>1.6053999999999999</v>
      </c>
      <c r="L394" s="5">
        <v>0.40319702602230495</v>
      </c>
      <c r="M394" s="3">
        <v>0.23269999999999985</v>
      </c>
      <c r="N394" s="3">
        <v>4.0899999999999999E-2</v>
      </c>
      <c r="O394" s="23" t="s">
        <v>55</v>
      </c>
    </row>
    <row r="395" spans="1:15" ht="15.75" thickBot="1" x14ac:dyDescent="0.3">
      <c r="A395" s="18" t="s">
        <v>23</v>
      </c>
      <c r="B395" s="2">
        <v>393</v>
      </c>
      <c r="C395" s="9">
        <v>264249.34191915003</v>
      </c>
      <c r="D395" s="9">
        <v>7366096.0875910996</v>
      </c>
      <c r="E395" s="9" t="s">
        <v>19</v>
      </c>
      <c r="F395" s="8" t="s">
        <v>27</v>
      </c>
      <c r="G395" s="9">
        <v>29.33543911069815</v>
      </c>
      <c r="H395" s="10">
        <v>85</v>
      </c>
      <c r="I395" s="10">
        <v>2</v>
      </c>
      <c r="J395" s="10">
        <v>13</v>
      </c>
      <c r="K395" s="11">
        <v>1.5417899999999998</v>
      </c>
      <c r="L395" s="11">
        <v>0.42896666666666694</v>
      </c>
      <c r="M395" s="9">
        <v>0.22609999999999986</v>
      </c>
      <c r="N395" s="9">
        <v>7.5499999999999998E-2</v>
      </c>
      <c r="O395" s="23" t="s">
        <v>55</v>
      </c>
    </row>
    <row r="396" spans="1:15" x14ac:dyDescent="0.25">
      <c r="A396" s="1" t="s">
        <v>28</v>
      </c>
      <c r="B396" s="2">
        <v>394</v>
      </c>
      <c r="C396" s="3">
        <v>208715.19899999999</v>
      </c>
      <c r="D396" s="3">
        <v>6953395.8609999996</v>
      </c>
      <c r="E396" s="3" t="s">
        <v>19</v>
      </c>
      <c r="F396" s="19" t="s">
        <v>29</v>
      </c>
      <c r="G396" s="3">
        <v>73.187119334991053</v>
      </c>
      <c r="H396" s="20">
        <v>14.824937662997458</v>
      </c>
      <c r="I396" s="20">
        <v>59.760883486149858</v>
      </c>
      <c r="J396" s="20">
        <v>25.414178850852686</v>
      </c>
      <c r="K396" s="3">
        <v>1.1549136617942153</v>
      </c>
      <c r="L396" s="3">
        <v>0.56418352385123949</v>
      </c>
      <c r="M396" s="3">
        <v>0.13780763156357578</v>
      </c>
      <c r="N396" s="3">
        <v>2.2447795823665895</v>
      </c>
      <c r="O396" s="23" t="s">
        <v>56</v>
      </c>
    </row>
    <row r="397" spans="1:15" x14ac:dyDescent="0.25">
      <c r="A397" s="1" t="s">
        <v>28</v>
      </c>
      <c r="B397" s="2">
        <v>395</v>
      </c>
      <c r="C397" s="3">
        <v>208715.19899999999</v>
      </c>
      <c r="D397" s="3">
        <v>6953395.8609999996</v>
      </c>
      <c r="E397" s="3" t="s">
        <v>19</v>
      </c>
      <c r="F397" s="19" t="s">
        <v>29</v>
      </c>
      <c r="G397" s="3">
        <v>8.5668659013154418</v>
      </c>
      <c r="H397" s="20">
        <v>15.955350445605458</v>
      </c>
      <c r="I397" s="20">
        <v>54.048590716655994</v>
      </c>
      <c r="J397" s="20">
        <v>29.996058837738545</v>
      </c>
      <c r="K397" s="3">
        <v>1.4513667728237789</v>
      </c>
      <c r="L397" s="3">
        <v>0.45231442534951738</v>
      </c>
      <c r="M397" s="3">
        <v>2.4368565476905742E-2</v>
      </c>
      <c r="N397" s="3">
        <v>1.7633410672853829</v>
      </c>
      <c r="O397" s="23" t="s">
        <v>56</v>
      </c>
    </row>
    <row r="398" spans="1:15" x14ac:dyDescent="0.25">
      <c r="A398" s="1" t="s">
        <v>28</v>
      </c>
      <c r="B398" s="2">
        <v>396</v>
      </c>
      <c r="C398" s="3">
        <v>208715.19899999999</v>
      </c>
      <c r="D398" s="3">
        <v>6953395.8609999996</v>
      </c>
      <c r="E398" s="3" t="s">
        <v>19</v>
      </c>
      <c r="F398" s="19" t="s">
        <v>29</v>
      </c>
      <c r="G398" s="3">
        <v>2302.3148176218156</v>
      </c>
      <c r="H398" s="20">
        <v>8.6116730923386342</v>
      </c>
      <c r="I398" s="20">
        <v>53.981371912814616</v>
      </c>
      <c r="J398" s="20">
        <v>37.40695499484675</v>
      </c>
      <c r="K398" s="3">
        <v>1.0228424171169326</v>
      </c>
      <c r="L398" s="3">
        <v>0.61402172938983668</v>
      </c>
      <c r="M398" s="3">
        <v>0.17588452356172296</v>
      </c>
      <c r="N398" s="3">
        <v>1.6821345707656612</v>
      </c>
      <c r="O398" s="23" t="s">
        <v>56</v>
      </c>
    </row>
    <row r="399" spans="1:15" x14ac:dyDescent="0.25">
      <c r="A399" s="1" t="s">
        <v>28</v>
      </c>
      <c r="B399" s="2">
        <v>397</v>
      </c>
      <c r="C399" s="3">
        <v>208715.19899999999</v>
      </c>
      <c r="D399" s="3">
        <v>6953395.8609999996</v>
      </c>
      <c r="E399" s="3" t="s">
        <v>19</v>
      </c>
      <c r="F399" s="19" t="s">
        <v>29</v>
      </c>
      <c r="G399" s="3">
        <v>46.747973748281936</v>
      </c>
      <c r="H399" s="20">
        <v>15.995277057754427</v>
      </c>
      <c r="I399" s="20">
        <v>56.332893632330155</v>
      </c>
      <c r="J399" s="20">
        <v>27.671829309915424</v>
      </c>
      <c r="K399" s="3">
        <v>1.2526907879216795</v>
      </c>
      <c r="L399" s="3">
        <v>0.52728649512389447</v>
      </c>
      <c r="M399" s="3">
        <v>8.8651203781596855E-2</v>
      </c>
      <c r="N399" s="3">
        <v>1.5197215777262181</v>
      </c>
      <c r="O399" s="23" t="s">
        <v>56</v>
      </c>
    </row>
    <row r="400" spans="1:15" x14ac:dyDescent="0.25">
      <c r="A400" s="1" t="s">
        <v>28</v>
      </c>
      <c r="B400" s="2">
        <v>398</v>
      </c>
      <c r="C400" s="3">
        <v>208715.19899999999</v>
      </c>
      <c r="D400" s="3">
        <v>6953395.8609999996</v>
      </c>
      <c r="E400" s="3" t="s">
        <v>19</v>
      </c>
      <c r="F400" s="19" t="s">
        <v>29</v>
      </c>
      <c r="G400" s="3">
        <v>2878.9862261332378</v>
      </c>
      <c r="H400" s="20">
        <v>13.836773316827379</v>
      </c>
      <c r="I400" s="20">
        <v>43.162792683186829</v>
      </c>
      <c r="J400" s="20">
        <v>43.000433999985795</v>
      </c>
      <c r="K400" s="3">
        <v>1.005890526099575</v>
      </c>
      <c r="L400" s="3">
        <v>0.62041866939638679</v>
      </c>
      <c r="M400" s="3">
        <v>0.26892321977458866</v>
      </c>
      <c r="N400" s="3">
        <v>1.7633410672853829</v>
      </c>
      <c r="O400" s="23" t="s">
        <v>56</v>
      </c>
    </row>
    <row r="401" spans="1:15" x14ac:dyDescent="0.25">
      <c r="A401" s="1" t="s">
        <v>28</v>
      </c>
      <c r="B401" s="2">
        <v>399</v>
      </c>
      <c r="C401" s="3">
        <v>208715.19899999999</v>
      </c>
      <c r="D401" s="3">
        <v>6953395.8609999996</v>
      </c>
      <c r="E401" s="3" t="s">
        <v>19</v>
      </c>
      <c r="F401" s="19" t="s">
        <v>29</v>
      </c>
      <c r="G401" s="3">
        <v>136.24385097703029</v>
      </c>
      <c r="H401" s="20">
        <v>16.904999287851062</v>
      </c>
      <c r="I401" s="20">
        <v>36.476214214499045</v>
      </c>
      <c r="J401" s="20">
        <v>46.618786497649886</v>
      </c>
      <c r="K401" s="3">
        <v>1.2130661712668078</v>
      </c>
      <c r="L401" s="3">
        <v>0.54223918065403476</v>
      </c>
      <c r="M401" s="3">
        <v>0.16110565859694603</v>
      </c>
      <c r="N401" s="3">
        <v>1.2819025522041763</v>
      </c>
      <c r="O401" s="23" t="s">
        <v>56</v>
      </c>
    </row>
    <row r="402" spans="1:15" x14ac:dyDescent="0.25">
      <c r="A402" s="1" t="s">
        <v>28</v>
      </c>
      <c r="B402" s="2">
        <v>400</v>
      </c>
      <c r="C402" s="3">
        <v>208715.19899999999</v>
      </c>
      <c r="D402" s="3">
        <v>6953395.8609999996</v>
      </c>
      <c r="E402" s="3" t="s">
        <v>19</v>
      </c>
      <c r="F402" s="19" t="s">
        <v>29</v>
      </c>
      <c r="G402" s="3">
        <v>152.38634487608866</v>
      </c>
      <c r="H402" s="20">
        <v>13.879969173463548</v>
      </c>
      <c r="I402" s="20">
        <v>49.883397020101413</v>
      </c>
      <c r="J402" s="20">
        <v>36.236633806435037</v>
      </c>
      <c r="K402" s="3">
        <v>1.3034197627292907</v>
      </c>
      <c r="L402" s="3">
        <v>0.50814348576253177</v>
      </c>
      <c r="M402" s="3">
        <v>0.11511542062076341</v>
      </c>
      <c r="N402" s="3">
        <v>1.6009280742459395</v>
      </c>
      <c r="O402" s="23" t="s">
        <v>56</v>
      </c>
    </row>
    <row r="403" spans="1:15" x14ac:dyDescent="0.25">
      <c r="A403" s="1" t="s">
        <v>28</v>
      </c>
      <c r="B403" s="2">
        <v>401</v>
      </c>
      <c r="C403" s="3">
        <v>208715.19899999999</v>
      </c>
      <c r="D403" s="3">
        <v>6953395.8609999996</v>
      </c>
      <c r="E403" s="3" t="s">
        <v>19</v>
      </c>
      <c r="F403" s="19" t="s">
        <v>29</v>
      </c>
      <c r="G403" s="3">
        <v>987.71860211761066</v>
      </c>
      <c r="H403" s="20">
        <v>7.9111968157431116</v>
      </c>
      <c r="I403" s="20">
        <v>46.747756434028226</v>
      </c>
      <c r="J403" s="20">
        <v>45.341046750228664</v>
      </c>
      <c r="K403" s="3">
        <v>1.2989502241094599</v>
      </c>
      <c r="L403" s="3">
        <v>0.50983010410963792</v>
      </c>
      <c r="M403" s="3">
        <v>9.9577096324782954E-2</v>
      </c>
      <c r="N403" s="3">
        <v>1.3631090487238979</v>
      </c>
      <c r="O403" s="23" t="s">
        <v>56</v>
      </c>
    </row>
    <row r="404" spans="1:15" x14ac:dyDescent="0.25">
      <c r="A404" s="1" t="s">
        <v>28</v>
      </c>
      <c r="B404" s="2">
        <v>402</v>
      </c>
      <c r="C404" s="3">
        <v>208715.19899999999</v>
      </c>
      <c r="D404" s="3">
        <v>6953395.8609999996</v>
      </c>
      <c r="E404" s="3" t="s">
        <v>19</v>
      </c>
      <c r="F404" s="19" t="s">
        <v>29</v>
      </c>
      <c r="G404" s="3">
        <v>639.1908066434313</v>
      </c>
      <c r="H404" s="20">
        <v>13.791595197255848</v>
      </c>
      <c r="I404" s="20">
        <v>53.26771012006833</v>
      </c>
      <c r="J404" s="20">
        <v>32.940694682675826</v>
      </c>
      <c r="K404" s="3">
        <v>1.1672135079333512</v>
      </c>
      <c r="L404" s="3">
        <v>0.55954207247798071</v>
      </c>
      <c r="M404" s="3">
        <v>0.16511139711157261</v>
      </c>
      <c r="N404" s="3">
        <v>2.2447795823665895</v>
      </c>
      <c r="O404" s="23" t="s">
        <v>56</v>
      </c>
    </row>
    <row r="405" spans="1:15" x14ac:dyDescent="0.25">
      <c r="A405" s="1" t="s">
        <v>28</v>
      </c>
      <c r="B405" s="2">
        <v>403</v>
      </c>
      <c r="C405" s="3">
        <v>208715.19899999999</v>
      </c>
      <c r="D405" s="3">
        <v>6953395.8609999996</v>
      </c>
      <c r="E405" s="3" t="s">
        <v>19</v>
      </c>
      <c r="F405" s="19" t="s">
        <v>29</v>
      </c>
      <c r="G405" s="3">
        <v>49.462228039075967</v>
      </c>
      <c r="H405" s="20">
        <v>17.740215849770355</v>
      </c>
      <c r="I405" s="20">
        <v>51.162229307691334</v>
      </c>
      <c r="J405" s="20">
        <v>31.097554842538312</v>
      </c>
      <c r="K405" s="3">
        <v>1.2622744161358808</v>
      </c>
      <c r="L405" s="3">
        <v>0.52367003164683745</v>
      </c>
      <c r="M405" s="3">
        <v>0.13792899602522851</v>
      </c>
      <c r="N405" s="3">
        <v>1.2819025522041763</v>
      </c>
      <c r="O405" s="23" t="s">
        <v>56</v>
      </c>
    </row>
    <row r="406" spans="1:15" x14ac:dyDescent="0.25">
      <c r="A406" s="1" t="s">
        <v>28</v>
      </c>
      <c r="B406" s="2">
        <v>404</v>
      </c>
      <c r="C406" s="3">
        <v>208715.19899999999</v>
      </c>
      <c r="D406" s="3">
        <v>6953395.8609999996</v>
      </c>
      <c r="E406" s="3" t="s">
        <v>19</v>
      </c>
      <c r="F406" s="19" t="s">
        <v>29</v>
      </c>
      <c r="G406" s="3">
        <v>214.64730213734086</v>
      </c>
      <c r="H406" s="20">
        <v>16.840690733381834</v>
      </c>
      <c r="I406" s="20">
        <v>56.42471272737393</v>
      </c>
      <c r="J406" s="20">
        <v>26.73459653924424</v>
      </c>
      <c r="K406" s="3">
        <v>1.3102983622731257</v>
      </c>
      <c r="L406" s="3">
        <v>0.50554778782146204</v>
      </c>
      <c r="M406" s="3">
        <v>9.0578617280914417E-2</v>
      </c>
      <c r="N406" s="3">
        <v>1.919953596287703</v>
      </c>
      <c r="O406" s="23" t="s">
        <v>56</v>
      </c>
    </row>
    <row r="407" spans="1:15" x14ac:dyDescent="0.25">
      <c r="A407" s="1" t="s">
        <v>28</v>
      </c>
      <c r="B407" s="2">
        <v>405</v>
      </c>
      <c r="C407" s="3">
        <v>208715.19899999999</v>
      </c>
      <c r="D407" s="3">
        <v>6953395.8609999996</v>
      </c>
      <c r="E407" s="3" t="s">
        <v>19</v>
      </c>
      <c r="F407" s="19" t="s">
        <v>29</v>
      </c>
      <c r="G407" s="3">
        <v>722.62566259865912</v>
      </c>
      <c r="H407" s="20">
        <v>20.18687709870003</v>
      </c>
      <c r="I407" s="20">
        <v>52.608902811147189</v>
      </c>
      <c r="J407" s="20">
        <v>27.204220090152788</v>
      </c>
      <c r="K407" s="3">
        <v>1.3030689982999568</v>
      </c>
      <c r="L407" s="3">
        <v>0.50827584969812944</v>
      </c>
      <c r="M407" s="3">
        <v>0.13495304736625624</v>
      </c>
      <c r="N407" s="3">
        <v>1.4443155452436196</v>
      </c>
      <c r="O407" s="23" t="s">
        <v>56</v>
      </c>
    </row>
    <row r="408" spans="1:15" x14ac:dyDescent="0.25">
      <c r="A408" s="1" t="s">
        <v>28</v>
      </c>
      <c r="B408" s="2">
        <v>406</v>
      </c>
      <c r="C408" s="3">
        <v>208715.19899999999</v>
      </c>
      <c r="D408" s="3">
        <v>6953395.8609999996</v>
      </c>
      <c r="E408" s="3" t="s">
        <v>19</v>
      </c>
      <c r="F408" s="19" t="s">
        <v>29</v>
      </c>
      <c r="G408" s="3">
        <v>503.7348072368722</v>
      </c>
      <c r="H408" s="20">
        <v>4.7918816969335269</v>
      </c>
      <c r="I408" s="20">
        <v>67.445153721457245</v>
      </c>
      <c r="J408" s="20">
        <v>27.762964581609225</v>
      </c>
      <c r="K408" s="3">
        <v>1.2872060887739478</v>
      </c>
      <c r="L408" s="3">
        <v>0.51426185329284979</v>
      </c>
      <c r="M408" s="3">
        <v>0.10788817051404365</v>
      </c>
      <c r="N408" s="3">
        <v>1.8445475638051045</v>
      </c>
      <c r="O408" s="23" t="s">
        <v>56</v>
      </c>
    </row>
    <row r="409" spans="1:15" x14ac:dyDescent="0.25">
      <c r="A409" s="1" t="s">
        <v>28</v>
      </c>
      <c r="B409" s="2">
        <v>407</v>
      </c>
      <c r="C409" s="3">
        <v>208715.19899999999</v>
      </c>
      <c r="D409" s="3">
        <v>6953395.8609999996</v>
      </c>
      <c r="E409" s="3" t="s">
        <v>19</v>
      </c>
      <c r="F409" s="19" t="s">
        <v>29</v>
      </c>
      <c r="G409" s="3">
        <v>86.967731423221423</v>
      </c>
      <c r="H409" s="20">
        <v>15.080428393890948</v>
      </c>
      <c r="I409" s="20">
        <v>52.873661269090931</v>
      </c>
      <c r="J409" s="20">
        <v>32.045910337018128</v>
      </c>
      <c r="K409" s="3">
        <v>1.3096396555791459</v>
      </c>
      <c r="L409" s="3">
        <v>0.50579635638522791</v>
      </c>
      <c r="M409" s="3">
        <v>9.3516042631984431E-2</v>
      </c>
      <c r="N409" s="3">
        <v>1.2819025522041763</v>
      </c>
      <c r="O409" s="23" t="s">
        <v>56</v>
      </c>
    </row>
    <row r="410" spans="1:15" x14ac:dyDescent="0.25">
      <c r="A410" s="1" t="s">
        <v>28</v>
      </c>
      <c r="B410" s="2">
        <v>408</v>
      </c>
      <c r="C410" s="3">
        <v>208715.19899999999</v>
      </c>
      <c r="D410" s="3">
        <v>6953395.8609999996</v>
      </c>
      <c r="E410" s="3" t="s">
        <v>19</v>
      </c>
      <c r="F410" s="19" t="s">
        <v>29</v>
      </c>
      <c r="G410" s="3">
        <v>1724.201989112152</v>
      </c>
      <c r="H410" s="20">
        <v>20.115696995051945</v>
      </c>
      <c r="I410" s="20">
        <v>26.290338868131293</v>
      </c>
      <c r="J410" s="20">
        <v>53.593964136816759</v>
      </c>
      <c r="K410" s="3">
        <v>1.1358496574362884</v>
      </c>
      <c r="L410" s="3">
        <v>0.57137748775989117</v>
      </c>
      <c r="M410" s="3">
        <v>0.17385187000852703</v>
      </c>
      <c r="N410" s="3">
        <v>1.5197215777262181</v>
      </c>
      <c r="O410" s="23" t="s">
        <v>56</v>
      </c>
    </row>
    <row r="411" spans="1:15" x14ac:dyDescent="0.25">
      <c r="A411" s="1" t="s">
        <v>28</v>
      </c>
      <c r="B411" s="2">
        <v>409</v>
      </c>
      <c r="C411" s="3">
        <v>208715.19899999999</v>
      </c>
      <c r="D411" s="3">
        <v>6953395.8609999996</v>
      </c>
      <c r="E411" s="3" t="s">
        <v>19</v>
      </c>
      <c r="F411" s="19" t="s">
        <v>30</v>
      </c>
      <c r="G411" s="3">
        <v>226.30091144478195</v>
      </c>
      <c r="H411" s="20">
        <v>17.452026605345086</v>
      </c>
      <c r="I411" s="20">
        <v>50.752562423042583</v>
      </c>
      <c r="J411" s="20">
        <v>31.795410971612334</v>
      </c>
      <c r="K411" s="3">
        <v>1.1817350790280725</v>
      </c>
      <c r="L411" s="3">
        <v>0.55406223432902924</v>
      </c>
      <c r="M411" s="3">
        <v>0.19541337846679774</v>
      </c>
      <c r="N411" s="3">
        <v>1.2006960556844546</v>
      </c>
      <c r="O411" s="23" t="s">
        <v>56</v>
      </c>
    </row>
    <row r="412" spans="1:15" x14ac:dyDescent="0.25">
      <c r="A412" s="1" t="s">
        <v>28</v>
      </c>
      <c r="B412" s="2">
        <v>410</v>
      </c>
      <c r="C412" s="3">
        <v>208715.19899999999</v>
      </c>
      <c r="D412" s="3">
        <v>6953395.8609999996</v>
      </c>
      <c r="E412" s="3" t="s">
        <v>19</v>
      </c>
      <c r="F412" s="19" t="s">
        <v>30</v>
      </c>
      <c r="G412" s="3">
        <v>49.721418361641241</v>
      </c>
      <c r="H412" s="20">
        <v>15.559504126562201</v>
      </c>
      <c r="I412" s="20">
        <v>58.922909105876762</v>
      </c>
      <c r="J412" s="20">
        <v>25.517586767561035</v>
      </c>
      <c r="K412" s="3">
        <v>1.4021263312840448</v>
      </c>
      <c r="L412" s="3">
        <v>0.47089572404375668</v>
      </c>
      <c r="M412" s="3">
        <v>5.5731419448899089E-2</v>
      </c>
      <c r="N412" s="3">
        <v>1.6821345707656612</v>
      </c>
      <c r="O412" s="23" t="s">
        <v>56</v>
      </c>
    </row>
    <row r="413" spans="1:15" x14ac:dyDescent="0.25">
      <c r="A413" s="1" t="s">
        <v>28</v>
      </c>
      <c r="B413" s="2">
        <v>411</v>
      </c>
      <c r="C413" s="3">
        <v>208715.19899999999</v>
      </c>
      <c r="D413" s="3">
        <v>6953395.8609999996</v>
      </c>
      <c r="E413" s="3" t="s">
        <v>19</v>
      </c>
      <c r="F413" s="19" t="s">
        <v>30</v>
      </c>
      <c r="G413" s="3">
        <v>35.51727850080448</v>
      </c>
      <c r="H413" s="20">
        <v>5.8008519546986026</v>
      </c>
      <c r="I413" s="20">
        <v>42.455548609394263</v>
      </c>
      <c r="J413" s="20">
        <v>51.743599435907136</v>
      </c>
      <c r="K413" s="3">
        <v>1.3601380042462843</v>
      </c>
      <c r="L413" s="3">
        <v>0.48674037575611917</v>
      </c>
      <c r="M413" s="3">
        <v>0.10265804501773773</v>
      </c>
      <c r="N413" s="3">
        <v>1.3631090487238979</v>
      </c>
      <c r="O413" s="23" t="s">
        <v>56</v>
      </c>
    </row>
    <row r="414" spans="1:15" x14ac:dyDescent="0.25">
      <c r="A414" s="1" t="s">
        <v>28</v>
      </c>
      <c r="B414" s="2">
        <v>412</v>
      </c>
      <c r="C414" s="3">
        <v>208715.19899999999</v>
      </c>
      <c r="D414" s="3">
        <v>6953395.8609999996</v>
      </c>
      <c r="E414" s="3" t="s">
        <v>19</v>
      </c>
      <c r="F414" s="19" t="s">
        <v>30</v>
      </c>
      <c r="G414" s="3">
        <v>1081.3773254289595</v>
      </c>
      <c r="H414" s="20">
        <v>6.367202192252134</v>
      </c>
      <c r="I414" s="20">
        <v>56.543845037880594</v>
      </c>
      <c r="J414" s="20">
        <v>37.088952769867269</v>
      </c>
      <c r="K414" s="3">
        <v>1.0506703474072658</v>
      </c>
      <c r="L414" s="3">
        <v>0.60352062361989967</v>
      </c>
      <c r="M414" s="3">
        <v>0.21222038306244101</v>
      </c>
      <c r="N414" s="3">
        <v>1.7633410672853829</v>
      </c>
      <c r="O414" s="23" t="s">
        <v>56</v>
      </c>
    </row>
    <row r="415" spans="1:15" x14ac:dyDescent="0.25">
      <c r="A415" s="1" t="s">
        <v>28</v>
      </c>
      <c r="B415" s="2">
        <v>413</v>
      </c>
      <c r="C415" s="3">
        <v>208715.19899999999</v>
      </c>
      <c r="D415" s="3">
        <v>6953395.8609999996</v>
      </c>
      <c r="E415" s="3" t="s">
        <v>19</v>
      </c>
      <c r="F415" s="19" t="s">
        <v>30</v>
      </c>
      <c r="G415" s="3">
        <v>470.24458633402088</v>
      </c>
      <c r="H415" s="20">
        <v>11.747550882093895</v>
      </c>
      <c r="I415" s="20">
        <v>54.718531145385541</v>
      </c>
      <c r="J415" s="20">
        <v>33.53391797252057</v>
      </c>
      <c r="K415" s="3">
        <v>1.1490105579448147</v>
      </c>
      <c r="L415" s="3">
        <v>0.56641111020950397</v>
      </c>
      <c r="M415" s="3">
        <v>0.18749938026038118</v>
      </c>
      <c r="N415" s="3">
        <v>1.6009280742459395</v>
      </c>
      <c r="O415" s="23" t="s">
        <v>56</v>
      </c>
    </row>
    <row r="416" spans="1:15" x14ac:dyDescent="0.25">
      <c r="A416" s="1" t="s">
        <v>28</v>
      </c>
      <c r="B416" s="2">
        <v>414</v>
      </c>
      <c r="C416" s="3">
        <v>208715.19899999999</v>
      </c>
      <c r="D416" s="3">
        <v>6953395.8609999996</v>
      </c>
      <c r="E416" s="3" t="s">
        <v>19</v>
      </c>
      <c r="F416" s="19" t="s">
        <v>30</v>
      </c>
      <c r="G416" s="3">
        <v>627.69138620808724</v>
      </c>
      <c r="H416" s="20">
        <v>15.025624781722197</v>
      </c>
      <c r="I416" s="20">
        <v>58.729617266202766</v>
      </c>
      <c r="J416" s="20">
        <v>26.24475795207503</v>
      </c>
      <c r="K416" s="3">
        <v>1.1249347996973234</v>
      </c>
      <c r="L416" s="3">
        <v>0.57549630200100999</v>
      </c>
      <c r="M416" s="3">
        <v>0.18951739751302543</v>
      </c>
      <c r="N416" s="3">
        <v>2.3201856148491879</v>
      </c>
      <c r="O416" s="23" t="s">
        <v>56</v>
      </c>
    </row>
    <row r="417" spans="1:15" x14ac:dyDescent="0.25">
      <c r="A417" s="1" t="s">
        <v>28</v>
      </c>
      <c r="B417" s="2">
        <v>415</v>
      </c>
      <c r="C417" s="3">
        <v>208715.19899999999</v>
      </c>
      <c r="D417" s="3">
        <v>6953395.8609999996</v>
      </c>
      <c r="E417" s="3" t="s">
        <v>19</v>
      </c>
      <c r="F417" s="19" t="s">
        <v>30</v>
      </c>
      <c r="G417" s="3">
        <v>329.74616177957523</v>
      </c>
      <c r="H417" s="20">
        <v>9.3675512474173814</v>
      </c>
      <c r="I417" s="20">
        <v>55.139837915144213</v>
      </c>
      <c r="J417" s="20">
        <v>35.492610837438406</v>
      </c>
      <c r="K417" s="3">
        <v>1.1502741987783756</v>
      </c>
      <c r="L417" s="3">
        <v>0.56593426461193375</v>
      </c>
      <c r="M417" s="3">
        <v>0.23847076860063873</v>
      </c>
      <c r="N417" s="3">
        <v>1.919953596287703</v>
      </c>
      <c r="O417" s="23" t="s">
        <v>56</v>
      </c>
    </row>
    <row r="418" spans="1:15" x14ac:dyDescent="0.25">
      <c r="A418" s="1" t="s">
        <v>28</v>
      </c>
      <c r="B418" s="2">
        <v>416</v>
      </c>
      <c r="C418" s="3">
        <v>208715.19899999999</v>
      </c>
      <c r="D418" s="3">
        <v>6953395.8609999996</v>
      </c>
      <c r="E418" s="3" t="s">
        <v>19</v>
      </c>
      <c r="F418" s="19" t="s">
        <v>30</v>
      </c>
      <c r="G418" s="3">
        <v>685.51586288807471</v>
      </c>
      <c r="H418" s="20">
        <v>14.077230726933463</v>
      </c>
      <c r="I418" s="20">
        <v>50.72969245573357</v>
      </c>
      <c r="J418" s="20">
        <v>35.193076817332965</v>
      </c>
      <c r="K418" s="3">
        <v>0.95536722368347948</v>
      </c>
      <c r="L418" s="3">
        <v>0.63948406653453604</v>
      </c>
      <c r="M418" s="3">
        <v>0.12632782201388826</v>
      </c>
      <c r="N418" s="3">
        <v>2.2447795823665895</v>
      </c>
      <c r="O418" s="23" t="s">
        <v>56</v>
      </c>
    </row>
    <row r="419" spans="1:15" x14ac:dyDescent="0.25">
      <c r="A419" s="1" t="s">
        <v>28</v>
      </c>
      <c r="B419" s="2">
        <v>417</v>
      </c>
      <c r="C419" s="3">
        <v>208715.19899999999</v>
      </c>
      <c r="D419" s="3">
        <v>6953395.8609999996</v>
      </c>
      <c r="E419" s="3" t="s">
        <v>19</v>
      </c>
      <c r="F419" s="19" t="s">
        <v>30</v>
      </c>
      <c r="G419" s="3">
        <v>396.85634188272024</v>
      </c>
      <c r="H419" s="20">
        <v>10.653169047405999</v>
      </c>
      <c r="I419" s="20">
        <v>48.75825688197483</v>
      </c>
      <c r="J419" s="20">
        <v>40.588574070619174</v>
      </c>
      <c r="K419" s="3">
        <v>1.0322673389950459</v>
      </c>
      <c r="L419" s="3">
        <v>0.61046515509620902</v>
      </c>
      <c r="M419" s="3">
        <v>0.18823261204360225</v>
      </c>
      <c r="N419" s="3">
        <v>1.8445475638051045</v>
      </c>
      <c r="O419" s="23" t="s">
        <v>56</v>
      </c>
    </row>
    <row r="420" spans="1:15" x14ac:dyDescent="0.25">
      <c r="A420" s="1" t="s">
        <v>28</v>
      </c>
      <c r="B420" s="2">
        <v>418</v>
      </c>
      <c r="C420" s="3">
        <v>208715.19899999999</v>
      </c>
      <c r="D420" s="3">
        <v>6953395.8609999996</v>
      </c>
      <c r="E420" s="3" t="s">
        <v>19</v>
      </c>
      <c r="F420" s="19" t="s">
        <v>30</v>
      </c>
      <c r="G420" s="3">
        <v>2208.7913637068627</v>
      </c>
      <c r="H420" s="20">
        <v>17.53300876338869</v>
      </c>
      <c r="I420" s="20">
        <v>52.454605647516857</v>
      </c>
      <c r="J420" s="20">
        <v>30.012385589094453</v>
      </c>
      <c r="K420" s="3">
        <v>1.0802924232814215</v>
      </c>
      <c r="L420" s="3">
        <v>0.59234248178059556</v>
      </c>
      <c r="M420" s="3">
        <v>0.20759435563547166</v>
      </c>
      <c r="N420" s="3">
        <v>2.2447795823665895</v>
      </c>
      <c r="O420" s="23" t="s">
        <v>56</v>
      </c>
    </row>
    <row r="421" spans="1:15" x14ac:dyDescent="0.25">
      <c r="A421" s="1" t="s">
        <v>28</v>
      </c>
      <c r="B421" s="2">
        <v>419</v>
      </c>
      <c r="C421" s="3">
        <v>208715.19899999999</v>
      </c>
      <c r="D421" s="3">
        <v>6953395.8609999996</v>
      </c>
      <c r="E421" s="3" t="s">
        <v>19</v>
      </c>
      <c r="F421" s="19" t="s">
        <v>30</v>
      </c>
      <c r="G421" s="3">
        <v>18.731855648914237</v>
      </c>
      <c r="H421" s="20">
        <v>15.625139410594169</v>
      </c>
      <c r="I421" s="20">
        <v>50.207889078239575</v>
      </c>
      <c r="J421" s="20">
        <v>34.166971511166253</v>
      </c>
      <c r="K421" s="3">
        <v>1.4078718447747109</v>
      </c>
      <c r="L421" s="3">
        <v>0.46872760574539207</v>
      </c>
      <c r="M421" s="3">
        <v>0.10233812709476731</v>
      </c>
      <c r="N421" s="3">
        <v>1.5197215777262181</v>
      </c>
      <c r="O421" s="23" t="s">
        <v>56</v>
      </c>
    </row>
    <row r="422" spans="1:15" x14ac:dyDescent="0.25">
      <c r="A422" s="1" t="s">
        <v>28</v>
      </c>
      <c r="B422" s="2">
        <v>420</v>
      </c>
      <c r="C422" s="3">
        <v>208715.19899999999</v>
      </c>
      <c r="D422" s="3">
        <v>6953395.8609999996</v>
      </c>
      <c r="E422" s="3" t="s">
        <v>19</v>
      </c>
      <c r="F422" s="19" t="s">
        <v>30</v>
      </c>
      <c r="G422" s="3">
        <v>2025.4110248056322</v>
      </c>
      <c r="H422" s="20">
        <v>13.786217225885579</v>
      </c>
      <c r="I422" s="20">
        <v>49.627283213111106</v>
      </c>
      <c r="J422" s="20">
        <v>36.586499561003315</v>
      </c>
      <c r="K422" s="3">
        <v>1.3006381973472585</v>
      </c>
      <c r="L422" s="3">
        <v>0.50919313307650627</v>
      </c>
      <c r="M422" s="3">
        <v>0.1700847522166854</v>
      </c>
      <c r="N422" s="3">
        <v>1.8445475638051045</v>
      </c>
      <c r="O422" s="23" t="s">
        <v>56</v>
      </c>
    </row>
    <row r="423" spans="1:15" x14ac:dyDescent="0.25">
      <c r="A423" s="1" t="s">
        <v>28</v>
      </c>
      <c r="B423" s="2">
        <v>421</v>
      </c>
      <c r="C423" s="3">
        <v>208715.19899999999</v>
      </c>
      <c r="D423" s="3">
        <v>6953395.8609999996</v>
      </c>
      <c r="E423" s="3" t="s">
        <v>19</v>
      </c>
      <c r="F423" s="19" t="s">
        <v>30</v>
      </c>
      <c r="G423" s="3">
        <v>117.77525717105109</v>
      </c>
      <c r="H423" s="20">
        <v>7.3966437602801536</v>
      </c>
      <c r="I423" s="20">
        <v>43.838340591587311</v>
      </c>
      <c r="J423" s="20">
        <v>48.765015648132533</v>
      </c>
      <c r="K423" s="3">
        <v>1.2372095423448923</v>
      </c>
      <c r="L423" s="3">
        <v>0.53312847458683299</v>
      </c>
      <c r="M423" s="3">
        <v>0.17282091384137427</v>
      </c>
      <c r="N423" s="3">
        <v>1.2819025522041763</v>
      </c>
      <c r="O423" s="23" t="s">
        <v>56</v>
      </c>
    </row>
    <row r="424" spans="1:15" x14ac:dyDescent="0.25">
      <c r="A424" s="1" t="s">
        <v>28</v>
      </c>
      <c r="B424" s="2">
        <v>422</v>
      </c>
      <c r="C424" s="3">
        <v>208715.19899999999</v>
      </c>
      <c r="D424" s="3">
        <v>6953395.8609999996</v>
      </c>
      <c r="E424" s="3" t="s">
        <v>19</v>
      </c>
      <c r="F424" s="19" t="s">
        <v>30</v>
      </c>
      <c r="G424" s="3">
        <v>2290.6262209194806</v>
      </c>
      <c r="H424" s="20">
        <v>11.644820343475804</v>
      </c>
      <c r="I424" s="20">
        <v>51.568133571452734</v>
      </c>
      <c r="J424" s="20">
        <v>36.787046085071466</v>
      </c>
      <c r="K424" s="3">
        <v>1.066466384818588</v>
      </c>
      <c r="L424" s="3">
        <v>0.59755985478543849</v>
      </c>
      <c r="M424" s="3">
        <v>0.26990257404655033</v>
      </c>
      <c r="N424" s="3">
        <v>2.0011600928074249</v>
      </c>
      <c r="O424" s="23" t="s">
        <v>56</v>
      </c>
    </row>
    <row r="425" spans="1:15" x14ac:dyDescent="0.25">
      <c r="A425" s="1" t="s">
        <v>28</v>
      </c>
      <c r="B425" s="2">
        <v>423</v>
      </c>
      <c r="C425" s="3">
        <v>208715.19899999999</v>
      </c>
      <c r="D425" s="3">
        <v>6953395.8609999996</v>
      </c>
      <c r="E425" s="3" t="s">
        <v>19</v>
      </c>
      <c r="F425" s="19" t="s">
        <v>30</v>
      </c>
      <c r="G425" s="3">
        <v>100.07355184305582</v>
      </c>
      <c r="H425" s="20">
        <v>14.162411386578819</v>
      </c>
      <c r="I425" s="20">
        <v>52.201861570296622</v>
      </c>
      <c r="J425" s="20">
        <v>33.635727043124554</v>
      </c>
      <c r="K425" s="3">
        <v>1.2790555317403578</v>
      </c>
      <c r="L425" s="3">
        <v>0.51733753519231773</v>
      </c>
      <c r="M425" s="3">
        <v>0.14567912627077623</v>
      </c>
      <c r="N425" s="3">
        <v>1.3631090487238979</v>
      </c>
      <c r="O425" s="23" t="s">
        <v>56</v>
      </c>
    </row>
    <row r="426" spans="1:15" x14ac:dyDescent="0.25">
      <c r="A426" s="1" t="s">
        <v>28</v>
      </c>
      <c r="B426" s="2">
        <v>424</v>
      </c>
      <c r="C426" s="3">
        <v>208715.19899999999</v>
      </c>
      <c r="D426" s="3">
        <v>6953395.8609999996</v>
      </c>
      <c r="E426" s="3" t="s">
        <v>19</v>
      </c>
      <c r="F426" s="19" t="s">
        <v>29</v>
      </c>
      <c r="G426" s="3">
        <v>1747.6383779545879</v>
      </c>
      <c r="H426" s="20">
        <v>18.303492383144551</v>
      </c>
      <c r="I426" s="20">
        <v>41.937254717913618</v>
      </c>
      <c r="J426" s="20">
        <v>39.759252898941838</v>
      </c>
      <c r="K426" s="3">
        <v>1.0543492223795861</v>
      </c>
      <c r="L426" s="3">
        <v>0.60213236891336375</v>
      </c>
      <c r="M426" s="3">
        <v>0.16920500372010949</v>
      </c>
      <c r="N426" s="3">
        <v>2.6450116009280742</v>
      </c>
      <c r="O426" s="23" t="s">
        <v>56</v>
      </c>
    </row>
    <row r="427" spans="1:15" x14ac:dyDescent="0.25">
      <c r="A427" s="1" t="s">
        <v>28</v>
      </c>
      <c r="B427" s="2">
        <v>425</v>
      </c>
      <c r="C427" s="3">
        <v>208715.19899999999</v>
      </c>
      <c r="D427" s="3">
        <v>6953395.8609999996</v>
      </c>
      <c r="E427" s="3" t="s">
        <v>19</v>
      </c>
      <c r="F427" s="19" t="s">
        <v>29</v>
      </c>
      <c r="G427" s="3">
        <v>29.273657749683117</v>
      </c>
      <c r="H427" s="20">
        <v>35.556316685640674</v>
      </c>
      <c r="I427" s="20">
        <v>47.240700682630418</v>
      </c>
      <c r="J427" s="20">
        <v>17.202982631728911</v>
      </c>
      <c r="K427" s="3">
        <v>1.4360698277895729</v>
      </c>
      <c r="L427" s="3">
        <v>0.45808685743789701</v>
      </c>
      <c r="M427" s="3">
        <v>4.3963538258845414E-2</v>
      </c>
      <c r="N427" s="3">
        <v>2.0823665893271461</v>
      </c>
      <c r="O427" s="23" t="s">
        <v>56</v>
      </c>
    </row>
    <row r="428" spans="1:15" x14ac:dyDescent="0.25">
      <c r="A428" s="1" t="s">
        <v>28</v>
      </c>
      <c r="B428" s="2">
        <v>426</v>
      </c>
      <c r="C428" s="3">
        <v>208715.19899999999</v>
      </c>
      <c r="D428" s="3">
        <v>6953395.8609999996</v>
      </c>
      <c r="E428" s="3" t="s">
        <v>19</v>
      </c>
      <c r="F428" s="19" t="s">
        <v>29</v>
      </c>
      <c r="G428" s="3">
        <v>196.98021566471334</v>
      </c>
      <c r="H428" s="20">
        <v>28.048657886800363</v>
      </c>
      <c r="I428" s="20">
        <v>53.200294896283324</v>
      </c>
      <c r="J428" s="20">
        <v>18.751047216916319</v>
      </c>
      <c r="K428" s="3">
        <v>1.3196166767407196</v>
      </c>
      <c r="L428" s="3">
        <v>0.50203144273935107</v>
      </c>
      <c r="M428" s="3">
        <v>0.10006235646984096</v>
      </c>
      <c r="N428" s="3">
        <v>2.8016241299303943</v>
      </c>
      <c r="O428" s="23" t="s">
        <v>56</v>
      </c>
    </row>
    <row r="429" spans="1:15" x14ac:dyDescent="0.25">
      <c r="A429" s="1" t="s">
        <v>28</v>
      </c>
      <c r="B429" s="2">
        <v>427</v>
      </c>
      <c r="C429" s="3">
        <v>208715.19899999999</v>
      </c>
      <c r="D429" s="3">
        <v>6953395.8609999996</v>
      </c>
      <c r="E429" s="3" t="s">
        <v>19</v>
      </c>
      <c r="F429" s="19" t="s">
        <v>29</v>
      </c>
      <c r="G429" s="3">
        <v>26.505604315293649</v>
      </c>
      <c r="H429" s="20">
        <v>47.343131712832893</v>
      </c>
      <c r="I429" s="20">
        <v>23.031544957773686</v>
      </c>
      <c r="J429" s="20">
        <v>29.625323329393421</v>
      </c>
      <c r="K429" s="3">
        <v>1.2987659235668787</v>
      </c>
      <c r="L429" s="3">
        <v>0.50989965148419669</v>
      </c>
      <c r="M429" s="3">
        <v>0.15309380104777331</v>
      </c>
      <c r="N429" s="3">
        <v>1.7633410672853829</v>
      </c>
      <c r="O429" s="23" t="s">
        <v>56</v>
      </c>
    </row>
    <row r="430" spans="1:15" x14ac:dyDescent="0.25">
      <c r="A430" s="1" t="s">
        <v>28</v>
      </c>
      <c r="B430" s="2">
        <v>428</v>
      </c>
      <c r="C430" s="3">
        <v>208715.19899999999</v>
      </c>
      <c r="D430" s="3">
        <v>6953395.8609999996</v>
      </c>
      <c r="E430" s="3" t="s">
        <v>19</v>
      </c>
      <c r="F430" s="19" t="s">
        <v>29</v>
      </c>
      <c r="G430" s="3">
        <v>798.03719982146811</v>
      </c>
      <c r="H430" s="20">
        <v>23.136688668866974</v>
      </c>
      <c r="I430" s="20">
        <v>43.370200115249524</v>
      </c>
      <c r="J430" s="20">
        <v>33.493111215883495</v>
      </c>
      <c r="K430" s="3">
        <v>0.9544468399410464</v>
      </c>
      <c r="L430" s="3">
        <v>0.63983138115432214</v>
      </c>
      <c r="M430" s="3">
        <v>0.19883566003018166</v>
      </c>
      <c r="N430" s="3">
        <v>2.7204176334106731</v>
      </c>
      <c r="O430" s="23" t="s">
        <v>56</v>
      </c>
    </row>
    <row r="431" spans="1:15" x14ac:dyDescent="0.25">
      <c r="A431" s="1" t="s">
        <v>28</v>
      </c>
      <c r="B431" s="2">
        <v>429</v>
      </c>
      <c r="C431" s="3">
        <v>208715.19899999999</v>
      </c>
      <c r="D431" s="3">
        <v>6953395.8609999996</v>
      </c>
      <c r="E431" s="3" t="s">
        <v>19</v>
      </c>
      <c r="F431" s="19" t="s">
        <v>29</v>
      </c>
      <c r="G431" s="3">
        <v>853.88373182352507</v>
      </c>
      <c r="H431" s="20">
        <v>39.054692994759854</v>
      </c>
      <c r="I431" s="20">
        <v>44.347062482467322</v>
      </c>
      <c r="J431" s="20">
        <v>16.598244522772827</v>
      </c>
      <c r="K431" s="3">
        <v>1.2047726468506723</v>
      </c>
      <c r="L431" s="3">
        <v>0.54536881250918023</v>
      </c>
      <c r="M431" s="3">
        <v>6.784610668233465E-2</v>
      </c>
      <c r="N431" s="3">
        <v>1.5197215777262181</v>
      </c>
      <c r="O431" s="23" t="s">
        <v>56</v>
      </c>
    </row>
    <row r="432" spans="1:15" x14ac:dyDescent="0.25">
      <c r="A432" s="1" t="s">
        <v>28</v>
      </c>
      <c r="B432" s="2">
        <v>430</v>
      </c>
      <c r="C432" s="3">
        <v>208715.19899999999</v>
      </c>
      <c r="D432" s="3">
        <v>6953395.8609999996</v>
      </c>
      <c r="E432" s="3" t="s">
        <v>19</v>
      </c>
      <c r="F432" s="19" t="s">
        <v>29</v>
      </c>
      <c r="G432" s="3">
        <v>818.34426622086994</v>
      </c>
      <c r="H432" s="20">
        <v>21.189421115565423</v>
      </c>
      <c r="I432" s="20">
        <v>60.958491594570305</v>
      </c>
      <c r="J432" s="20">
        <v>17.852087289864276</v>
      </c>
      <c r="K432" s="3">
        <v>0.98187834911861138</v>
      </c>
      <c r="L432" s="3">
        <v>0.62947986825712776</v>
      </c>
      <c r="M432" s="3">
        <v>0.17883956027311088</v>
      </c>
      <c r="N432" s="3">
        <v>2.8016241299303943</v>
      </c>
      <c r="O432" s="23" t="s">
        <v>56</v>
      </c>
    </row>
    <row r="433" spans="1:15" x14ac:dyDescent="0.25">
      <c r="A433" s="1" t="s">
        <v>28</v>
      </c>
      <c r="B433" s="2">
        <v>431</v>
      </c>
      <c r="C433" s="3">
        <v>208715.19899999999</v>
      </c>
      <c r="D433" s="3">
        <v>6953395.8609999996</v>
      </c>
      <c r="E433" s="3" t="s">
        <v>19</v>
      </c>
      <c r="F433" s="19" t="s">
        <v>29</v>
      </c>
      <c r="G433" s="3">
        <v>757.79575595627671</v>
      </c>
      <c r="H433" s="20">
        <v>24.561391636241488</v>
      </c>
      <c r="I433" s="20">
        <v>58.245634218389235</v>
      </c>
      <c r="J433" s="20">
        <v>17.19297414536927</v>
      </c>
      <c r="K433" s="3">
        <v>1.2075371549893841</v>
      </c>
      <c r="L433" s="3">
        <v>0.54432560189079848</v>
      </c>
      <c r="M433" s="3">
        <v>0.18106923246404705</v>
      </c>
      <c r="N433" s="3">
        <v>1.7633410672853829</v>
      </c>
      <c r="O433" s="23" t="s">
        <v>56</v>
      </c>
    </row>
    <row r="434" spans="1:15" x14ac:dyDescent="0.25">
      <c r="A434" s="1" t="s">
        <v>28</v>
      </c>
      <c r="B434" s="2">
        <v>432</v>
      </c>
      <c r="C434" s="3">
        <v>208715.19899999999</v>
      </c>
      <c r="D434" s="3">
        <v>6953395.8609999996</v>
      </c>
      <c r="E434" s="3" t="s">
        <v>19</v>
      </c>
      <c r="F434" s="19" t="s">
        <v>29</v>
      </c>
      <c r="G434" s="3">
        <v>219.03419988251227</v>
      </c>
      <c r="H434" s="20">
        <v>14.532142402020474</v>
      </c>
      <c r="I434" s="20">
        <v>62.787335349111949</v>
      </c>
      <c r="J434" s="20">
        <v>22.680522248867582</v>
      </c>
      <c r="K434" s="3">
        <v>1.092703632798512</v>
      </c>
      <c r="L434" s="3">
        <v>0.58765900649112757</v>
      </c>
      <c r="M434" s="3">
        <v>0.16916786897117725</v>
      </c>
      <c r="N434" s="3">
        <v>2.4825986078886313</v>
      </c>
      <c r="O434" s="23" t="s">
        <v>56</v>
      </c>
    </row>
    <row r="435" spans="1:15" x14ac:dyDescent="0.25">
      <c r="A435" s="1" t="s">
        <v>28</v>
      </c>
      <c r="B435" s="2">
        <v>433</v>
      </c>
      <c r="C435" s="3">
        <v>208715.19899999999</v>
      </c>
      <c r="D435" s="3">
        <v>6953395.8609999996</v>
      </c>
      <c r="E435" s="3" t="s">
        <v>19</v>
      </c>
      <c r="F435" s="19" t="s">
        <v>29</v>
      </c>
      <c r="G435" s="3">
        <v>2341.1671020493641</v>
      </c>
      <c r="H435" s="20">
        <v>23.404277549655614</v>
      </c>
      <c r="I435" s="20">
        <v>52.712721041718424</v>
      </c>
      <c r="J435" s="20">
        <v>23.883001408625958</v>
      </c>
      <c r="K435" s="3">
        <v>1.2711208421797593</v>
      </c>
      <c r="L435" s="3">
        <v>0.52033175766801532</v>
      </c>
      <c r="M435" s="3">
        <v>4.3361953468911911E-2</v>
      </c>
      <c r="N435" s="3">
        <v>1.2819025522041763</v>
      </c>
      <c r="O435" s="23" t="s">
        <v>56</v>
      </c>
    </row>
    <row r="436" spans="1:15" x14ac:dyDescent="0.25">
      <c r="A436" s="1" t="s">
        <v>28</v>
      </c>
      <c r="B436" s="2">
        <v>434</v>
      </c>
      <c r="C436" s="3">
        <v>208715.19899999999</v>
      </c>
      <c r="D436" s="3">
        <v>6953395.8609999996</v>
      </c>
      <c r="E436" s="3" t="s">
        <v>19</v>
      </c>
      <c r="F436" s="19" t="s">
        <v>29</v>
      </c>
      <c r="G436" s="3">
        <v>1544.8849281167545</v>
      </c>
      <c r="H436" s="20">
        <v>23.843724001663571</v>
      </c>
      <c r="I436" s="20">
        <v>59.724840110233252</v>
      </c>
      <c r="J436" s="20">
        <v>16.431435888103174</v>
      </c>
      <c r="K436" s="3">
        <v>1.121060661994284</v>
      </c>
      <c r="L436" s="3">
        <v>0.57695824075687396</v>
      </c>
      <c r="M436" s="3">
        <v>8.1355587931037809E-2</v>
      </c>
      <c r="N436" s="3">
        <v>2.882830626450116</v>
      </c>
      <c r="O436" s="23" t="s">
        <v>56</v>
      </c>
    </row>
    <row r="437" spans="1:15" x14ac:dyDescent="0.25">
      <c r="A437" s="1" t="s">
        <v>28</v>
      </c>
      <c r="B437" s="2">
        <v>435</v>
      </c>
      <c r="C437" s="3">
        <v>208715.19899999999</v>
      </c>
      <c r="D437" s="3">
        <v>6953395.8609999996</v>
      </c>
      <c r="E437" s="3" t="s">
        <v>19</v>
      </c>
      <c r="F437" s="19" t="s">
        <v>29</v>
      </c>
      <c r="G437" s="3">
        <v>120.7336562306437</v>
      </c>
      <c r="H437" s="20">
        <v>31.39030515181538</v>
      </c>
      <c r="I437" s="20">
        <v>50.298683509625903</v>
      </c>
      <c r="J437" s="20">
        <v>18.311011338558711</v>
      </c>
      <c r="K437" s="3">
        <v>1.4333053196508612</v>
      </c>
      <c r="L437" s="3">
        <v>0.45913006805627871</v>
      </c>
      <c r="M437" s="3">
        <v>7.3389032434670098E-2</v>
      </c>
      <c r="N437" s="3">
        <v>1.919953596287703</v>
      </c>
      <c r="O437" s="23" t="s">
        <v>56</v>
      </c>
    </row>
    <row r="438" spans="1:15" x14ac:dyDescent="0.25">
      <c r="A438" s="1" t="s">
        <v>28</v>
      </c>
      <c r="B438" s="2">
        <v>436</v>
      </c>
      <c r="C438" s="3">
        <v>208715.19899999999</v>
      </c>
      <c r="D438" s="3">
        <v>6953395.8609999996</v>
      </c>
      <c r="E438" s="3" t="s">
        <v>19</v>
      </c>
      <c r="F438" s="19" t="s">
        <v>29</v>
      </c>
      <c r="G438" s="3">
        <v>732.85177717907277</v>
      </c>
      <c r="H438" s="20">
        <v>27.141145189678859</v>
      </c>
      <c r="I438" s="20">
        <v>55.478082986930509</v>
      </c>
      <c r="J438" s="20">
        <v>17.380771823390624</v>
      </c>
      <c r="K438" s="3">
        <v>1.2232764716527851</v>
      </c>
      <c r="L438" s="3">
        <v>0.53838623711215661</v>
      </c>
      <c r="M438" s="3">
        <v>0.17830190526061163</v>
      </c>
      <c r="N438" s="3">
        <v>2.3201856148491879</v>
      </c>
      <c r="O438" s="23" t="s">
        <v>56</v>
      </c>
    </row>
    <row r="439" spans="1:15" x14ac:dyDescent="0.25">
      <c r="A439" s="1" t="s">
        <v>28</v>
      </c>
      <c r="B439" s="2">
        <v>437</v>
      </c>
      <c r="C439" s="3">
        <v>208715.19899999999</v>
      </c>
      <c r="D439" s="3">
        <v>6953395.8609999996</v>
      </c>
      <c r="E439" s="3" t="s">
        <v>19</v>
      </c>
      <c r="F439" s="19" t="s">
        <v>29</v>
      </c>
      <c r="G439" s="3">
        <v>2711.5406582771675</v>
      </c>
      <c r="H439" s="20">
        <v>35.481601918797416</v>
      </c>
      <c r="I439" s="20">
        <v>46.621060642750528</v>
      </c>
      <c r="J439" s="20">
        <v>17.897337438452048</v>
      </c>
      <c r="K439" s="3">
        <v>1.11409677990092</v>
      </c>
      <c r="L439" s="3">
        <v>0.57958612079210559</v>
      </c>
      <c r="M439" s="3">
        <v>0.21503964756728844</v>
      </c>
      <c r="N439" s="3">
        <v>1.6009280742459395</v>
      </c>
      <c r="O439" s="23" t="s">
        <v>56</v>
      </c>
    </row>
    <row r="440" spans="1:15" x14ac:dyDescent="0.25">
      <c r="A440" s="1" t="s">
        <v>28</v>
      </c>
      <c r="B440" s="2">
        <v>438</v>
      </c>
      <c r="C440" s="3">
        <v>208715.19899999999</v>
      </c>
      <c r="D440" s="3">
        <v>6953395.8609999996</v>
      </c>
      <c r="E440" s="3" t="s">
        <v>19</v>
      </c>
      <c r="F440" s="19" t="s">
        <v>29</v>
      </c>
      <c r="G440" s="3">
        <v>2322.8876094599923</v>
      </c>
      <c r="H440" s="20">
        <v>20.974854742220746</v>
      </c>
      <c r="I440" s="20">
        <v>58.522224747258043</v>
      </c>
      <c r="J440" s="20">
        <v>20.502920510521214</v>
      </c>
      <c r="K440" s="3">
        <v>0.94818300818826617</v>
      </c>
      <c r="L440" s="3">
        <v>0.64219509124971086</v>
      </c>
      <c r="M440" s="3">
        <v>0.18970592174579978</v>
      </c>
      <c r="N440" s="3">
        <v>2.4013921113689092</v>
      </c>
      <c r="O440" s="23" t="s">
        <v>56</v>
      </c>
    </row>
    <row r="441" spans="1:15" x14ac:dyDescent="0.25">
      <c r="A441" s="1" t="s">
        <v>28</v>
      </c>
      <c r="B441" s="2">
        <v>439</v>
      </c>
      <c r="C441" s="3">
        <v>208715.19899999999</v>
      </c>
      <c r="D441" s="3">
        <v>6953395.8609999996</v>
      </c>
      <c r="E441" s="3" t="s">
        <v>19</v>
      </c>
      <c r="F441" s="19" t="s">
        <v>30</v>
      </c>
      <c r="G441" s="3">
        <v>317.71332350815987</v>
      </c>
      <c r="H441" s="20">
        <v>33.747334556945631</v>
      </c>
      <c r="I441" s="20">
        <v>43.671728349804212</v>
      </c>
      <c r="J441" s="20">
        <v>22.58093709325016</v>
      </c>
      <c r="K441" s="3">
        <v>1.2945270110875207</v>
      </c>
      <c r="L441" s="3">
        <v>0.51149924109904876</v>
      </c>
      <c r="M441" s="3">
        <v>0.11009265935807239</v>
      </c>
      <c r="N441" s="3">
        <v>1.5951276102088168</v>
      </c>
      <c r="O441" s="23" t="s">
        <v>56</v>
      </c>
    </row>
    <row r="442" spans="1:15" x14ac:dyDescent="0.25">
      <c r="A442" s="1" t="s">
        <v>28</v>
      </c>
      <c r="B442" s="2">
        <v>440</v>
      </c>
      <c r="C442" s="3">
        <v>208715.19899999999</v>
      </c>
      <c r="D442" s="3">
        <v>6953395.8609999996</v>
      </c>
      <c r="E442" s="3" t="s">
        <v>19</v>
      </c>
      <c r="F442" s="19" t="s">
        <v>30</v>
      </c>
      <c r="G442" s="3">
        <v>1903.9494559852089</v>
      </c>
      <c r="H442" s="20">
        <v>28.970566263260245</v>
      </c>
      <c r="I442" s="20">
        <v>51.422568354997637</v>
      </c>
      <c r="J442" s="20">
        <v>19.606865381742114</v>
      </c>
      <c r="K442" s="3">
        <v>1.1894245425376218</v>
      </c>
      <c r="L442" s="3">
        <v>0.55116054998580311</v>
      </c>
      <c r="M442" s="3">
        <v>0.1178177181059506</v>
      </c>
      <c r="N442" s="3">
        <v>3.0452436194895594</v>
      </c>
      <c r="O442" s="23" t="s">
        <v>56</v>
      </c>
    </row>
    <row r="443" spans="1:15" x14ac:dyDescent="0.25">
      <c r="A443" s="1" t="s">
        <v>28</v>
      </c>
      <c r="B443" s="2">
        <v>441</v>
      </c>
      <c r="C443" s="3">
        <v>208715.19899999999</v>
      </c>
      <c r="D443" s="3">
        <v>6953395.8609999996</v>
      </c>
      <c r="E443" s="3" t="s">
        <v>19</v>
      </c>
      <c r="F443" s="19" t="s">
        <v>30</v>
      </c>
      <c r="G443" s="3">
        <v>654.72420016615786</v>
      </c>
      <c r="H443" s="20">
        <v>38.685458071722543</v>
      </c>
      <c r="I443" s="20">
        <v>44.585695194559811</v>
      </c>
      <c r="J443" s="20">
        <v>16.728846733717646</v>
      </c>
      <c r="K443" s="3">
        <v>1.3949708067940549</v>
      </c>
      <c r="L443" s="3">
        <v>0.4735959219645075</v>
      </c>
      <c r="M443" s="3">
        <v>5.8551100072551987E-2</v>
      </c>
      <c r="N443" s="3">
        <v>2.0823665893271461</v>
      </c>
      <c r="O443" s="23" t="s">
        <v>56</v>
      </c>
    </row>
    <row r="444" spans="1:15" x14ac:dyDescent="0.25">
      <c r="A444" s="1" t="s">
        <v>28</v>
      </c>
      <c r="B444" s="2">
        <v>442</v>
      </c>
      <c r="C444" s="3">
        <v>208715.19899999999</v>
      </c>
      <c r="D444" s="3">
        <v>6953395.8609999996</v>
      </c>
      <c r="E444" s="3" t="s">
        <v>19</v>
      </c>
      <c r="F444" s="19" t="s">
        <v>30</v>
      </c>
      <c r="G444" s="3">
        <v>5329.1940887075834</v>
      </c>
      <c r="H444" s="20">
        <v>27.227203369852155</v>
      </c>
      <c r="I444" s="20">
        <v>52.515757322977819</v>
      </c>
      <c r="J444" s="20">
        <v>20.257039307170015</v>
      </c>
      <c r="K444" s="3">
        <v>0.85220485047868955</v>
      </c>
      <c r="L444" s="3">
        <v>0.67841326397030566</v>
      </c>
      <c r="M444" s="3">
        <v>0.19663770797495267</v>
      </c>
      <c r="N444" s="3">
        <v>2.8016241299303943</v>
      </c>
      <c r="O444" s="23" t="s">
        <v>56</v>
      </c>
    </row>
    <row r="445" spans="1:15" x14ac:dyDescent="0.25">
      <c r="A445" s="1" t="s">
        <v>28</v>
      </c>
      <c r="B445" s="2">
        <v>443</v>
      </c>
      <c r="C445" s="3">
        <v>208715.19899999999</v>
      </c>
      <c r="D445" s="3">
        <v>6953395.8609999996</v>
      </c>
      <c r="E445" s="3" t="s">
        <v>19</v>
      </c>
      <c r="F445" s="19" t="s">
        <v>30</v>
      </c>
      <c r="G445" s="3">
        <v>2055.6867700750263</v>
      </c>
      <c r="H445" s="20">
        <v>37.993548265388839</v>
      </c>
      <c r="I445" s="20">
        <v>44.117822759657216</v>
      </c>
      <c r="J445" s="20">
        <v>17.888628974953942</v>
      </c>
      <c r="K445" s="3">
        <v>1.089584807737674</v>
      </c>
      <c r="L445" s="3">
        <v>0.58883592160842491</v>
      </c>
      <c r="M445" s="3">
        <v>0.12163404616610379</v>
      </c>
      <c r="N445" s="3">
        <v>1.3631090487238979</v>
      </c>
      <c r="O445" s="23" t="s">
        <v>56</v>
      </c>
    </row>
    <row r="446" spans="1:15" x14ac:dyDescent="0.25">
      <c r="A446" s="1" t="s">
        <v>28</v>
      </c>
      <c r="B446" s="2">
        <v>444</v>
      </c>
      <c r="C446" s="3">
        <v>208715.19899999999</v>
      </c>
      <c r="D446" s="3">
        <v>6953395.8609999996</v>
      </c>
      <c r="E446" s="3" t="s">
        <v>19</v>
      </c>
      <c r="F446" s="19" t="s">
        <v>30</v>
      </c>
      <c r="G446" s="3">
        <v>2913.106329688379</v>
      </c>
      <c r="H446" s="20">
        <v>20.230620684650717</v>
      </c>
      <c r="I446" s="20">
        <v>62.733067159854357</v>
      </c>
      <c r="J446" s="20">
        <v>17.036312155494922</v>
      </c>
      <c r="K446" s="3">
        <v>1.0071907275051812</v>
      </c>
      <c r="L446" s="3">
        <v>0.61992802735653529</v>
      </c>
      <c r="M446" s="3">
        <v>0.19875499390287882</v>
      </c>
      <c r="N446" s="3">
        <v>3.1206496519721578</v>
      </c>
      <c r="O446" s="23" t="s">
        <v>56</v>
      </c>
    </row>
    <row r="447" spans="1:15" x14ac:dyDescent="0.25">
      <c r="A447" s="1" t="s">
        <v>28</v>
      </c>
      <c r="B447" s="2">
        <v>445</v>
      </c>
      <c r="C447" s="3">
        <v>208715.19899999999</v>
      </c>
      <c r="D447" s="3">
        <v>6953395.8609999996</v>
      </c>
      <c r="E447" s="3" t="s">
        <v>19</v>
      </c>
      <c r="F447" s="19" t="s">
        <v>30</v>
      </c>
      <c r="G447" s="3">
        <v>1337.2010669756398</v>
      </c>
      <c r="H447" s="20">
        <v>35.213694878959721</v>
      </c>
      <c r="I447" s="20">
        <v>45.578835187062552</v>
      </c>
      <c r="J447" s="20">
        <v>19.207469933977723</v>
      </c>
      <c r="K447" s="3">
        <v>1.4392029370134465</v>
      </c>
      <c r="L447" s="3">
        <v>0.45690455207039748</v>
      </c>
      <c r="M447" s="3">
        <v>7.5586729470728087E-2</v>
      </c>
      <c r="N447" s="3">
        <v>2.0011600928074249</v>
      </c>
      <c r="O447" s="23" t="s">
        <v>56</v>
      </c>
    </row>
    <row r="448" spans="1:15" x14ac:dyDescent="0.25">
      <c r="A448" s="1" t="s">
        <v>28</v>
      </c>
      <c r="B448" s="2">
        <v>446</v>
      </c>
      <c r="C448" s="3">
        <v>208715.19899999999</v>
      </c>
      <c r="D448" s="3">
        <v>6953395.8609999996</v>
      </c>
      <c r="E448" s="3" t="s">
        <v>19</v>
      </c>
      <c r="F448" s="19" t="s">
        <v>30</v>
      </c>
      <c r="G448" s="3">
        <v>3410.3522647540167</v>
      </c>
      <c r="H448" s="20">
        <v>23.021843560228284</v>
      </c>
      <c r="I448" s="20">
        <v>59.1362276805947</v>
      </c>
      <c r="J448" s="20">
        <v>17.841928759177012</v>
      </c>
      <c r="K448" s="3">
        <v>1.0991438248482974</v>
      </c>
      <c r="L448" s="3">
        <v>0.58522874534026514</v>
      </c>
      <c r="M448" s="3">
        <v>0.19118510380278131</v>
      </c>
      <c r="N448" s="3">
        <v>3.2018561484918791</v>
      </c>
      <c r="O448" s="23" t="s">
        <v>56</v>
      </c>
    </row>
    <row r="449" spans="1:15" x14ac:dyDescent="0.25">
      <c r="A449" s="1" t="s">
        <v>28</v>
      </c>
      <c r="B449" s="2">
        <v>447</v>
      </c>
      <c r="C449" s="3">
        <v>208715.19899999999</v>
      </c>
      <c r="D449" s="3">
        <v>6953395.8609999996</v>
      </c>
      <c r="E449" s="3" t="s">
        <v>19</v>
      </c>
      <c r="F449" s="19" t="s">
        <v>30</v>
      </c>
      <c r="G449" s="3">
        <v>1208.5838699512033</v>
      </c>
      <c r="H449" s="20">
        <v>34.801956163168569</v>
      </c>
      <c r="I449" s="20">
        <v>45.766951645729335</v>
      </c>
      <c r="J449" s="20">
        <v>19.431092191102096</v>
      </c>
      <c r="K449" s="3">
        <v>1.1406360580325547</v>
      </c>
      <c r="L449" s="3">
        <v>0.56957129885563973</v>
      </c>
      <c r="M449" s="3">
        <v>0.14641725309012893</v>
      </c>
      <c r="N449" s="3">
        <v>2.0823665893271461</v>
      </c>
      <c r="O449" s="23" t="s">
        <v>56</v>
      </c>
    </row>
    <row r="450" spans="1:15" x14ac:dyDescent="0.25">
      <c r="A450" s="1" t="s">
        <v>28</v>
      </c>
      <c r="B450" s="2">
        <v>448</v>
      </c>
      <c r="C450" s="3">
        <v>208715.19899999999</v>
      </c>
      <c r="D450" s="3">
        <v>6953395.8609999996</v>
      </c>
      <c r="E450" s="3" t="s">
        <v>19</v>
      </c>
      <c r="F450" s="19" t="s">
        <v>30</v>
      </c>
      <c r="G450" s="3">
        <v>1319.509274875825</v>
      </c>
      <c r="H450" s="20">
        <v>37.050389328848375</v>
      </c>
      <c r="I450" s="20">
        <v>26.195624456934027</v>
      </c>
      <c r="J450" s="20">
        <v>36.753986214217598</v>
      </c>
      <c r="K450" s="3">
        <v>1.3573225264003901</v>
      </c>
      <c r="L450" s="3">
        <v>0.48780282022626786</v>
      </c>
      <c r="M450" s="3">
        <v>3.3283901163544183E-2</v>
      </c>
      <c r="N450" s="3">
        <v>2.5638051044083525</v>
      </c>
      <c r="O450" s="23" t="s">
        <v>56</v>
      </c>
    </row>
    <row r="451" spans="1:15" x14ac:dyDescent="0.25">
      <c r="A451" s="1" t="s">
        <v>28</v>
      </c>
      <c r="B451" s="2">
        <v>449</v>
      </c>
      <c r="C451" s="3">
        <v>208715.19899999999</v>
      </c>
      <c r="D451" s="3">
        <v>6953395.8609999996</v>
      </c>
      <c r="E451" s="3" t="s">
        <v>19</v>
      </c>
      <c r="F451" s="19" t="s">
        <v>30</v>
      </c>
      <c r="G451" s="3">
        <v>30.736824346907138</v>
      </c>
      <c r="H451" s="20">
        <v>29.116687262744616</v>
      </c>
      <c r="I451" s="20">
        <v>50.393792070879769</v>
      </c>
      <c r="J451" s="20">
        <v>20.489520666375608</v>
      </c>
      <c r="K451" s="3">
        <v>1.5149504600141539</v>
      </c>
      <c r="L451" s="3">
        <v>0.42832058112673432</v>
      </c>
      <c r="M451" s="3">
        <v>-1.142051347104811E-2</v>
      </c>
      <c r="N451" s="3">
        <v>1.7633410672853829</v>
      </c>
      <c r="O451" s="23" t="s">
        <v>56</v>
      </c>
    </row>
    <row r="452" spans="1:15" x14ac:dyDescent="0.25">
      <c r="A452" s="1" t="s">
        <v>28</v>
      </c>
      <c r="B452" s="2">
        <v>450</v>
      </c>
      <c r="C452" s="3">
        <v>208715.19899999999</v>
      </c>
      <c r="D452" s="3">
        <v>6953395.8609999996</v>
      </c>
      <c r="E452" s="3" t="s">
        <v>19</v>
      </c>
      <c r="F452" s="19" t="s">
        <v>30</v>
      </c>
      <c r="G452" s="3">
        <v>3070.2151276446457</v>
      </c>
      <c r="H452" s="20">
        <v>25.170004408758938</v>
      </c>
      <c r="I452" s="20">
        <v>54.956179610158649</v>
      </c>
      <c r="J452" s="20">
        <v>19.873815981082409</v>
      </c>
      <c r="K452" s="3">
        <v>1.0129318664350513</v>
      </c>
      <c r="L452" s="3">
        <v>0.6177615598358297</v>
      </c>
      <c r="M452" s="3">
        <v>0.22275182145608588</v>
      </c>
      <c r="N452" s="3">
        <v>3.0452436194895594</v>
      </c>
      <c r="O452" s="23" t="s">
        <v>56</v>
      </c>
    </row>
    <row r="453" spans="1:15" x14ac:dyDescent="0.25">
      <c r="A453" s="1" t="s">
        <v>28</v>
      </c>
      <c r="B453" s="2">
        <v>451</v>
      </c>
      <c r="C453" s="3">
        <v>208715.19899999999</v>
      </c>
      <c r="D453" s="3">
        <v>6953395.8609999996</v>
      </c>
      <c r="E453" s="3" t="s">
        <v>19</v>
      </c>
      <c r="F453" s="19" t="s">
        <v>30</v>
      </c>
      <c r="G453" s="3">
        <v>1043.0625893257873</v>
      </c>
      <c r="H453" s="20">
        <v>28.835537750022205</v>
      </c>
      <c r="I453" s="20">
        <v>52.627330839249296</v>
      </c>
      <c r="J453" s="20">
        <v>18.537131410728492</v>
      </c>
      <c r="K453" s="3">
        <v>1.1058032554847841</v>
      </c>
      <c r="L453" s="3">
        <v>0.58271575264725128</v>
      </c>
      <c r="M453" s="3">
        <v>0.17854466276756259</v>
      </c>
      <c r="N453" s="3">
        <v>2.0823665893271461</v>
      </c>
      <c r="O453" s="23" t="s">
        <v>56</v>
      </c>
    </row>
    <row r="454" spans="1:15" x14ac:dyDescent="0.25">
      <c r="A454" s="1" t="s">
        <v>28</v>
      </c>
      <c r="B454" s="2">
        <v>452</v>
      </c>
      <c r="C454" s="3">
        <v>208715.19899999999</v>
      </c>
      <c r="D454" s="3">
        <v>6953395.8609999996</v>
      </c>
      <c r="E454" s="3" t="s">
        <v>19</v>
      </c>
      <c r="F454" s="19" t="s">
        <v>30</v>
      </c>
      <c r="G454" s="3">
        <v>806.00678546304835</v>
      </c>
      <c r="H454" s="20">
        <v>26.774621942338175</v>
      </c>
      <c r="I454" s="20">
        <v>55.072184380756539</v>
      </c>
      <c r="J454" s="20">
        <v>18.153193676905286</v>
      </c>
      <c r="K454" s="3">
        <v>1.0244305481478715</v>
      </c>
      <c r="L454" s="3">
        <v>0.61342243466118052</v>
      </c>
      <c r="M454" s="3">
        <v>0.15105188396629549</v>
      </c>
      <c r="N454" s="3">
        <v>3.0452436194895594</v>
      </c>
      <c r="O454" s="23" t="s">
        <v>56</v>
      </c>
    </row>
    <row r="455" spans="1:15" x14ac:dyDescent="0.25">
      <c r="A455" s="1" t="s">
        <v>28</v>
      </c>
      <c r="B455" s="2">
        <v>453</v>
      </c>
      <c r="C455" s="3">
        <v>208715.19899999999</v>
      </c>
      <c r="D455" s="3">
        <v>6953395.8609999996</v>
      </c>
      <c r="E455" s="3" t="s">
        <v>19</v>
      </c>
      <c r="F455" s="19" t="s">
        <v>30</v>
      </c>
      <c r="G455" s="3">
        <v>5766.3874025573041</v>
      </c>
      <c r="H455" s="20">
        <v>28.379977873434225</v>
      </c>
      <c r="I455" s="20">
        <v>52.767608253498835</v>
      </c>
      <c r="J455" s="20">
        <v>18.852413873066936</v>
      </c>
      <c r="K455" s="3">
        <v>0.85662892191554585</v>
      </c>
      <c r="L455" s="3">
        <v>0.67674380305073745</v>
      </c>
      <c r="M455" s="3">
        <v>0.32122805641237917</v>
      </c>
      <c r="N455" s="3">
        <v>2.4013921113689092</v>
      </c>
      <c r="O455" s="23" t="s">
        <v>56</v>
      </c>
    </row>
    <row r="456" spans="1:15" x14ac:dyDescent="0.25">
      <c r="A456" s="1" t="s">
        <v>28</v>
      </c>
      <c r="B456" s="2">
        <v>454</v>
      </c>
      <c r="C456" s="3">
        <v>208715.19899999999</v>
      </c>
      <c r="D456" s="3">
        <v>6953395.8609999996</v>
      </c>
      <c r="E456" s="3" t="s">
        <v>19</v>
      </c>
      <c r="F456" s="19" t="s">
        <v>29</v>
      </c>
      <c r="G456" s="3">
        <v>1109.1972081471029</v>
      </c>
      <c r="H456" s="20">
        <v>18.040464762462165</v>
      </c>
      <c r="I456" s="20">
        <v>46.780628950736556</v>
      </c>
      <c r="J456" s="20">
        <v>35.178906286801279</v>
      </c>
      <c r="K456" s="3">
        <v>1.2623909735619276</v>
      </c>
      <c r="L456" s="3">
        <v>0.52362604771248011</v>
      </c>
      <c r="M456" s="3">
        <v>9.3034058574049283E-2</v>
      </c>
      <c r="N456" s="3">
        <v>1.8445475638051045</v>
      </c>
      <c r="O456" s="23" t="s">
        <v>56</v>
      </c>
    </row>
    <row r="457" spans="1:15" x14ac:dyDescent="0.25">
      <c r="A457" s="1" t="s">
        <v>28</v>
      </c>
      <c r="B457" s="2">
        <v>455</v>
      </c>
      <c r="C457" s="3">
        <v>208715.19899999999</v>
      </c>
      <c r="D457" s="3">
        <v>6953395.8609999996</v>
      </c>
      <c r="E457" s="3" t="s">
        <v>19</v>
      </c>
      <c r="F457" s="19" t="s">
        <v>29</v>
      </c>
      <c r="G457" s="3">
        <v>240.82152667916571</v>
      </c>
      <c r="H457" s="20">
        <v>14.74797673417833</v>
      </c>
      <c r="I457" s="20">
        <v>52.753803105150261</v>
      </c>
      <c r="J457" s="20">
        <v>32.498220160671401</v>
      </c>
      <c r="K457" s="3">
        <v>1.2337078320358572</v>
      </c>
      <c r="L457" s="3">
        <v>0.53444987470345007</v>
      </c>
      <c r="M457" s="3">
        <v>0.16419008465862817</v>
      </c>
      <c r="N457" s="3">
        <v>1.4443155452436196</v>
      </c>
      <c r="O457" s="23" t="s">
        <v>56</v>
      </c>
    </row>
    <row r="458" spans="1:15" x14ac:dyDescent="0.25">
      <c r="A458" s="1" t="s">
        <v>28</v>
      </c>
      <c r="B458" s="2">
        <v>456</v>
      </c>
      <c r="C458" s="3">
        <v>208715.19899999999</v>
      </c>
      <c r="D458" s="3">
        <v>6953395.8609999996</v>
      </c>
      <c r="E458" s="3" t="s">
        <v>19</v>
      </c>
      <c r="F458" s="19" t="s">
        <v>29</v>
      </c>
      <c r="G458" s="3">
        <v>1250.8594374186323</v>
      </c>
      <c r="H458" s="20">
        <v>14.712256942984178</v>
      </c>
      <c r="I458" s="20">
        <v>50.556307916614024</v>
      </c>
      <c r="J458" s="20">
        <v>34.731435140401793</v>
      </c>
      <c r="K458" s="3">
        <v>1.3273325076669027</v>
      </c>
      <c r="L458" s="3">
        <v>0.4991198084275838</v>
      </c>
      <c r="M458" s="3">
        <v>0.10729685490080915</v>
      </c>
      <c r="N458" s="3">
        <v>1.6009280742459395</v>
      </c>
      <c r="O458" s="23" t="s">
        <v>56</v>
      </c>
    </row>
    <row r="459" spans="1:15" x14ac:dyDescent="0.25">
      <c r="A459" s="1" t="s">
        <v>28</v>
      </c>
      <c r="B459" s="2">
        <v>457</v>
      </c>
      <c r="C459" s="3">
        <v>208715.19899999999</v>
      </c>
      <c r="D459" s="3">
        <v>6953395.8609999996</v>
      </c>
      <c r="E459" s="3" t="s">
        <v>19</v>
      </c>
      <c r="F459" s="19" t="s">
        <v>29</v>
      </c>
      <c r="G459" s="3">
        <v>3499.7064725641662</v>
      </c>
      <c r="H459" s="20">
        <v>18.903427797929933</v>
      </c>
      <c r="I459" s="20">
        <v>47.542987860744375</v>
      </c>
      <c r="J459" s="20">
        <v>33.553584341325688</v>
      </c>
      <c r="K459" s="3">
        <v>1.008108947543692</v>
      </c>
      <c r="L459" s="3">
        <v>0.6195815292287955</v>
      </c>
      <c r="M459" s="3">
        <v>0.22090081956370894</v>
      </c>
      <c r="N459" s="3">
        <v>1.6821345707656612</v>
      </c>
      <c r="O459" s="23" t="s">
        <v>56</v>
      </c>
    </row>
    <row r="460" spans="1:15" x14ac:dyDescent="0.25">
      <c r="A460" s="1" t="s">
        <v>28</v>
      </c>
      <c r="B460" s="2">
        <v>458</v>
      </c>
      <c r="C460" s="3">
        <v>208715.19899999999</v>
      </c>
      <c r="D460" s="3">
        <v>6953395.8609999996</v>
      </c>
      <c r="E460" s="3" t="s">
        <v>19</v>
      </c>
      <c r="F460" s="19" t="s">
        <v>29</v>
      </c>
      <c r="G460" s="3">
        <v>53.316950970686818</v>
      </c>
      <c r="H460" s="20">
        <v>17.543594776175915</v>
      </c>
      <c r="I460" s="20">
        <v>46.079245467342027</v>
      </c>
      <c r="J460" s="20">
        <v>36.377159756482051</v>
      </c>
      <c r="K460" s="3">
        <v>1.2759126562868597</v>
      </c>
      <c r="L460" s="3">
        <v>0.51852352592948692</v>
      </c>
      <c r="M460" s="3">
        <v>0.10808621760205134</v>
      </c>
      <c r="N460" s="3">
        <v>1.6821345707656612</v>
      </c>
      <c r="O460" s="23" t="s">
        <v>56</v>
      </c>
    </row>
    <row r="461" spans="1:15" x14ac:dyDescent="0.25">
      <c r="A461" s="1" t="s">
        <v>28</v>
      </c>
      <c r="B461" s="2">
        <v>459</v>
      </c>
      <c r="C461" s="3">
        <v>208715.19899999999</v>
      </c>
      <c r="D461" s="3">
        <v>6953395.8609999996</v>
      </c>
      <c r="E461" s="3" t="s">
        <v>19</v>
      </c>
      <c r="F461" s="19" t="s">
        <v>29</v>
      </c>
      <c r="G461" s="3">
        <v>2250.2254317990937</v>
      </c>
      <c r="H461" s="20">
        <v>13.617666651397602</v>
      </c>
      <c r="I461" s="20">
        <v>62.499041067690158</v>
      </c>
      <c r="J461" s="20">
        <v>23.88329228091224</v>
      </c>
      <c r="K461" s="3">
        <v>1.2204029842442385</v>
      </c>
      <c r="L461" s="3">
        <v>0.53947057198330617</v>
      </c>
      <c r="M461" s="3">
        <v>0.12440821249594493</v>
      </c>
      <c r="N461" s="3">
        <v>1.6821345707656612</v>
      </c>
      <c r="O461" s="23" t="s">
        <v>56</v>
      </c>
    </row>
    <row r="462" spans="1:15" x14ac:dyDescent="0.25">
      <c r="A462" s="1" t="s">
        <v>28</v>
      </c>
      <c r="B462" s="2">
        <v>460</v>
      </c>
      <c r="C462" s="3">
        <v>208715.19899999999</v>
      </c>
      <c r="D462" s="3">
        <v>6953395.8609999996</v>
      </c>
      <c r="E462" s="3" t="s">
        <v>19</v>
      </c>
      <c r="F462" s="19" t="s">
        <v>29</v>
      </c>
      <c r="G462" s="3">
        <v>654.12736862544114</v>
      </c>
      <c r="H462" s="20">
        <v>13.653925503582547</v>
      </c>
      <c r="I462" s="20">
        <v>62.819310551783374</v>
      </c>
      <c r="J462" s="20">
        <v>23.52676394463408</v>
      </c>
      <c r="K462" s="3">
        <v>1.2372095423448923</v>
      </c>
      <c r="L462" s="3">
        <v>0.53312847458683299</v>
      </c>
      <c r="M462" s="3">
        <v>0.11900515540778113</v>
      </c>
      <c r="N462" s="3">
        <v>1.6821345707656612</v>
      </c>
      <c r="O462" s="23" t="s">
        <v>56</v>
      </c>
    </row>
    <row r="463" spans="1:15" x14ac:dyDescent="0.25">
      <c r="A463" s="1" t="s">
        <v>28</v>
      </c>
      <c r="B463" s="2">
        <v>461</v>
      </c>
      <c r="C463" s="3">
        <v>208715.19899999999</v>
      </c>
      <c r="D463" s="3">
        <v>6953395.8609999996</v>
      </c>
      <c r="E463" s="3" t="s">
        <v>19</v>
      </c>
      <c r="F463" s="19" t="s">
        <v>29</v>
      </c>
      <c r="G463" s="3">
        <v>1463.3172556389784</v>
      </c>
      <c r="H463" s="20">
        <v>14.838935268149887</v>
      </c>
      <c r="I463" s="20">
        <v>73.130927925171505</v>
      </c>
      <c r="J463" s="20">
        <v>12.030136806678618</v>
      </c>
      <c r="K463" s="3">
        <v>1.2336845204431766</v>
      </c>
      <c r="L463" s="3">
        <v>0.53445867153087678</v>
      </c>
      <c r="M463" s="3">
        <v>7.4931410838940393E-2</v>
      </c>
      <c r="N463" s="3">
        <v>1.8445475638051045</v>
      </c>
      <c r="O463" s="23" t="s">
        <v>56</v>
      </c>
    </row>
    <row r="464" spans="1:15" x14ac:dyDescent="0.25">
      <c r="A464" s="1" t="s">
        <v>28</v>
      </c>
      <c r="B464" s="2">
        <v>462</v>
      </c>
      <c r="C464" s="3">
        <v>208715.19899999999</v>
      </c>
      <c r="D464" s="3">
        <v>6953395.8609999996</v>
      </c>
      <c r="E464" s="3" t="s">
        <v>19</v>
      </c>
      <c r="F464" s="19" t="s">
        <v>29</v>
      </c>
      <c r="G464" s="3">
        <v>811.57721317640346</v>
      </c>
      <c r="H464" s="20">
        <v>16.666714257568053</v>
      </c>
      <c r="I464" s="20">
        <v>65.624901843766295</v>
      </c>
      <c r="J464" s="20">
        <v>17.708383898665648</v>
      </c>
      <c r="K464" s="3">
        <v>1.2646703231894314</v>
      </c>
      <c r="L464" s="3">
        <v>0.52276591577757303</v>
      </c>
      <c r="M464" s="3">
        <v>0.1373934812411261</v>
      </c>
      <c r="N464" s="3">
        <v>1.4443155452436196</v>
      </c>
      <c r="O464" s="23" t="s">
        <v>56</v>
      </c>
    </row>
    <row r="465" spans="1:15" x14ac:dyDescent="0.25">
      <c r="A465" s="1" t="s">
        <v>28</v>
      </c>
      <c r="B465" s="2">
        <v>463</v>
      </c>
      <c r="C465" s="3">
        <v>208715.19899999999</v>
      </c>
      <c r="D465" s="3">
        <v>6953395.8609999996</v>
      </c>
      <c r="E465" s="3" t="s">
        <v>19</v>
      </c>
      <c r="F465" s="19" t="s">
        <v>29</v>
      </c>
      <c r="G465" s="3">
        <v>510.2057056640565</v>
      </c>
      <c r="H465" s="20">
        <v>13.61971069172362</v>
      </c>
      <c r="I465" s="20">
        <v>52.592930092270365</v>
      </c>
      <c r="J465" s="20">
        <v>33.78735921600601</v>
      </c>
      <c r="K465" s="3">
        <v>1.365848770193727</v>
      </c>
      <c r="L465" s="3">
        <v>0.48458536973821625</v>
      </c>
      <c r="M465" s="3">
        <v>7.0620261932299866E-3</v>
      </c>
      <c r="N465" s="3">
        <v>1.6821345707656612</v>
      </c>
      <c r="O465" s="23" t="s">
        <v>56</v>
      </c>
    </row>
    <row r="466" spans="1:15" x14ac:dyDescent="0.25">
      <c r="A466" s="1" t="s">
        <v>28</v>
      </c>
      <c r="B466" s="2">
        <v>464</v>
      </c>
      <c r="C466" s="3">
        <v>208715.19899999999</v>
      </c>
      <c r="D466" s="3">
        <v>6953395.8609999996</v>
      </c>
      <c r="E466" s="3" t="s">
        <v>19</v>
      </c>
      <c r="F466" s="19" t="s">
        <v>29</v>
      </c>
      <c r="G466" s="3">
        <v>262.0090463746065</v>
      </c>
      <c r="H466" s="20">
        <v>11.549805753266815</v>
      </c>
      <c r="I466" s="20">
        <v>49.810844090349462</v>
      </c>
      <c r="J466" s="20">
        <v>38.639350156383728</v>
      </c>
      <c r="K466" s="3">
        <v>1.3107454588346308</v>
      </c>
      <c r="L466" s="3">
        <v>0.50537907213787514</v>
      </c>
      <c r="M466" s="3">
        <v>0.1214810419420746</v>
      </c>
      <c r="N466" s="3">
        <v>1.2819025522041763</v>
      </c>
      <c r="O466" s="23" t="s">
        <v>56</v>
      </c>
    </row>
    <row r="467" spans="1:15" x14ac:dyDescent="0.25">
      <c r="A467" s="1" t="s">
        <v>28</v>
      </c>
      <c r="B467" s="2">
        <v>465</v>
      </c>
      <c r="C467" s="3">
        <v>208715.19899999999</v>
      </c>
      <c r="D467" s="3">
        <v>6953395.8609999996</v>
      </c>
      <c r="E467" s="3" t="s">
        <v>19</v>
      </c>
      <c r="F467" s="19" t="s">
        <v>29</v>
      </c>
      <c r="G467" s="3">
        <v>2489.071730283983</v>
      </c>
      <c r="H467" s="20">
        <v>15.876548302702606</v>
      </c>
      <c r="I467" s="20">
        <v>52.370355091893387</v>
      </c>
      <c r="J467" s="20">
        <v>31.753096605404007</v>
      </c>
      <c r="K467" s="3">
        <v>1.1073511486104726</v>
      </c>
      <c r="L467" s="3">
        <v>0.58213164203378387</v>
      </c>
      <c r="M467" s="3">
        <v>0.12290296379291982</v>
      </c>
      <c r="N467" s="3">
        <v>1.6009280742459395</v>
      </c>
      <c r="O467" s="23" t="s">
        <v>56</v>
      </c>
    </row>
    <row r="468" spans="1:15" x14ac:dyDescent="0.25">
      <c r="A468" s="1" t="s">
        <v>28</v>
      </c>
      <c r="B468" s="2">
        <v>466</v>
      </c>
      <c r="C468" s="3">
        <v>208715.19899999999</v>
      </c>
      <c r="D468" s="3">
        <v>6953395.8609999996</v>
      </c>
      <c r="E468" s="3" t="s">
        <v>19</v>
      </c>
      <c r="F468" s="19" t="s">
        <v>29</v>
      </c>
      <c r="G468" s="3">
        <v>523.22231736159074</v>
      </c>
      <c r="H468" s="20">
        <v>15.855923230006765</v>
      </c>
      <c r="I468" s="20">
        <v>49.261045663979665</v>
      </c>
      <c r="J468" s="20">
        <v>34.883031106013568</v>
      </c>
      <c r="K468" s="3">
        <v>1.2121446685539039</v>
      </c>
      <c r="L468" s="3">
        <v>0.54258691752682875</v>
      </c>
      <c r="M468" s="3">
        <v>0.14357624283940268</v>
      </c>
      <c r="N468" s="3">
        <v>1.5197215777262181</v>
      </c>
      <c r="O468" s="23" t="s">
        <v>56</v>
      </c>
    </row>
    <row r="469" spans="1:15" x14ac:dyDescent="0.25">
      <c r="A469" s="1" t="s">
        <v>28</v>
      </c>
      <c r="B469" s="2">
        <v>467</v>
      </c>
      <c r="C469" s="3">
        <v>208715.19899999999</v>
      </c>
      <c r="D469" s="3">
        <v>6953395.8609999996</v>
      </c>
      <c r="E469" s="3" t="s">
        <v>19</v>
      </c>
      <c r="F469" s="19" t="s">
        <v>29</v>
      </c>
      <c r="G469" s="3">
        <v>1694.7742112388039</v>
      </c>
      <c r="H469" s="20">
        <v>17.05757690518244</v>
      </c>
      <c r="I469" s="20">
        <v>59.061815427561626</v>
      </c>
      <c r="J469" s="20">
        <v>23.880607667255926</v>
      </c>
      <c r="K469" s="3">
        <v>1.2769171430797925</v>
      </c>
      <c r="L469" s="3">
        <v>0.51814447430951227</v>
      </c>
      <c r="M469" s="3">
        <v>5.8855803979970034E-2</v>
      </c>
      <c r="N469" s="3">
        <v>1.7633410672853829</v>
      </c>
      <c r="O469" s="23" t="s">
        <v>56</v>
      </c>
    </row>
    <row r="470" spans="1:15" x14ac:dyDescent="0.25">
      <c r="A470" s="1" t="s">
        <v>28</v>
      </c>
      <c r="B470" s="2">
        <v>468</v>
      </c>
      <c r="C470" s="3">
        <v>208715.19899999999</v>
      </c>
      <c r="D470" s="3">
        <v>6953395.8609999996</v>
      </c>
      <c r="E470" s="3" t="s">
        <v>19</v>
      </c>
      <c r="F470" s="19" t="s">
        <v>30</v>
      </c>
      <c r="G470" s="3">
        <v>1104.0388784023376</v>
      </c>
      <c r="H470" s="20">
        <v>21.130578349474192</v>
      </c>
      <c r="I470" s="20">
        <v>53.459901185283456</v>
      </c>
      <c r="J470" s="20">
        <v>25.409520465242352</v>
      </c>
      <c r="K470" s="3">
        <v>1.1599876150035384</v>
      </c>
      <c r="L470" s="3">
        <v>0.56226882452696669</v>
      </c>
      <c r="M470" s="3">
        <v>0.17652778890535775</v>
      </c>
      <c r="N470" s="3">
        <v>1.5197215777262181</v>
      </c>
      <c r="O470" s="23" t="s">
        <v>56</v>
      </c>
    </row>
    <row r="471" spans="1:15" x14ac:dyDescent="0.25">
      <c r="A471" s="1" t="s">
        <v>28</v>
      </c>
      <c r="B471" s="2">
        <v>469</v>
      </c>
      <c r="C471" s="3">
        <v>208715.19899999999</v>
      </c>
      <c r="D471" s="3">
        <v>6953395.8609999996</v>
      </c>
      <c r="E471" s="3" t="s">
        <v>19</v>
      </c>
      <c r="F471" s="19" t="s">
        <v>30</v>
      </c>
      <c r="G471" s="3">
        <v>5374.439603603817</v>
      </c>
      <c r="H471" s="20">
        <v>9.4752977900935793</v>
      </c>
      <c r="I471" s="20">
        <v>66.257411758612122</v>
      </c>
      <c r="J471" s="20">
        <v>24.267290451294301</v>
      </c>
      <c r="K471" s="3">
        <v>1.0708024236829203</v>
      </c>
      <c r="L471" s="3">
        <v>0.59592361370455837</v>
      </c>
      <c r="M471" s="3">
        <v>0.16011068188139022</v>
      </c>
      <c r="N471" s="3">
        <v>1.7633410672853829</v>
      </c>
      <c r="O471" s="23" t="s">
        <v>56</v>
      </c>
    </row>
    <row r="472" spans="1:15" x14ac:dyDescent="0.25">
      <c r="A472" s="1" t="s">
        <v>28</v>
      </c>
      <c r="B472" s="2">
        <v>470</v>
      </c>
      <c r="C472" s="3">
        <v>208715.19899999999</v>
      </c>
      <c r="D472" s="3">
        <v>6953395.8609999996</v>
      </c>
      <c r="E472" s="3" t="s">
        <v>19</v>
      </c>
      <c r="F472" s="19" t="s">
        <v>30</v>
      </c>
      <c r="G472" s="3">
        <v>1325.4633800082124</v>
      </c>
      <c r="H472" s="20">
        <v>13.743517310070335</v>
      </c>
      <c r="I472" s="20">
        <v>64.161135629893948</v>
      </c>
      <c r="J472" s="20">
        <v>22.095347060035728</v>
      </c>
      <c r="K472" s="3">
        <v>1.2145405756074545</v>
      </c>
      <c r="L472" s="3">
        <v>0.54168280165756433</v>
      </c>
      <c r="M472" s="3">
        <v>0.14820114324756239</v>
      </c>
      <c r="N472" s="3">
        <v>1.5197215777262181</v>
      </c>
      <c r="O472" s="23" t="s">
        <v>56</v>
      </c>
    </row>
    <row r="473" spans="1:15" x14ac:dyDescent="0.25">
      <c r="A473" s="1" t="s">
        <v>28</v>
      </c>
      <c r="B473" s="2">
        <v>471</v>
      </c>
      <c r="C473" s="3">
        <v>208715.19899999999</v>
      </c>
      <c r="D473" s="3">
        <v>6953395.8609999996</v>
      </c>
      <c r="E473" s="3" t="s">
        <v>19</v>
      </c>
      <c r="F473" s="19" t="s">
        <v>30</v>
      </c>
      <c r="G473" s="3">
        <v>1335.9931936194278</v>
      </c>
      <c r="H473" s="20">
        <v>14.80081984264757</v>
      </c>
      <c r="I473" s="20">
        <v>65.270933440644896</v>
      </c>
      <c r="J473" s="20">
        <v>19.928246716707537</v>
      </c>
      <c r="K473" s="3">
        <v>1.174442237274989</v>
      </c>
      <c r="L473" s="3">
        <v>0.55681425008490981</v>
      </c>
      <c r="M473" s="3">
        <v>9.1831586366052653E-2</v>
      </c>
      <c r="N473" s="3">
        <v>1.7633410672853829</v>
      </c>
      <c r="O473" s="23" t="s">
        <v>56</v>
      </c>
    </row>
    <row r="474" spans="1:15" x14ac:dyDescent="0.25">
      <c r="A474" s="1" t="s">
        <v>28</v>
      </c>
      <c r="B474" s="2">
        <v>472</v>
      </c>
      <c r="C474" s="3">
        <v>208715.19899999999</v>
      </c>
      <c r="D474" s="3">
        <v>6953395.8609999996</v>
      </c>
      <c r="E474" s="3" t="s">
        <v>19</v>
      </c>
      <c r="F474" s="19" t="s">
        <v>30</v>
      </c>
      <c r="G474" s="3">
        <v>954.23416168246047</v>
      </c>
      <c r="H474" s="20">
        <v>17.077037304597752</v>
      </c>
      <c r="I474" s="20">
        <v>63.444467019845895</v>
      </c>
      <c r="J474" s="20">
        <v>19.478495675556353</v>
      </c>
      <c r="K474" s="3">
        <v>1.1822879806558151</v>
      </c>
      <c r="L474" s="3">
        <v>0.5538535922053528</v>
      </c>
      <c r="M474" s="3">
        <v>0.16682245278567864</v>
      </c>
      <c r="N474" s="3">
        <v>1.4443155452436196</v>
      </c>
      <c r="O474" s="23" t="s">
        <v>56</v>
      </c>
    </row>
    <row r="475" spans="1:15" x14ac:dyDescent="0.25">
      <c r="A475" s="1" t="s">
        <v>28</v>
      </c>
      <c r="B475" s="2">
        <v>473</v>
      </c>
      <c r="C475" s="3">
        <v>208715.19899999999</v>
      </c>
      <c r="D475" s="3">
        <v>6953395.8609999996</v>
      </c>
      <c r="E475" s="3" t="s">
        <v>19</v>
      </c>
      <c r="F475" s="19" t="s">
        <v>30</v>
      </c>
      <c r="G475" s="3">
        <v>1426.4278037742149</v>
      </c>
      <c r="H475" s="20">
        <v>17.668106840081538</v>
      </c>
      <c r="I475" s="20">
        <v>52.55593663236958</v>
      </c>
      <c r="J475" s="20">
        <v>29.775956527548882</v>
      </c>
      <c r="K475" s="3">
        <v>1.2590034988019172</v>
      </c>
      <c r="L475" s="3">
        <v>0.52490434007474818</v>
      </c>
      <c r="M475" s="3">
        <v>6.511666113679293E-2</v>
      </c>
      <c r="N475" s="3">
        <v>1.5197215777262181</v>
      </c>
      <c r="O475" s="23" t="s">
        <v>56</v>
      </c>
    </row>
    <row r="476" spans="1:15" x14ac:dyDescent="0.25">
      <c r="A476" s="1" t="s">
        <v>28</v>
      </c>
      <c r="B476" s="2">
        <v>474</v>
      </c>
      <c r="C476" s="3">
        <v>208715.19899999999</v>
      </c>
      <c r="D476" s="3">
        <v>6953395.8609999996</v>
      </c>
      <c r="E476" s="3" t="s">
        <v>19</v>
      </c>
      <c r="F476" s="19" t="s">
        <v>30</v>
      </c>
      <c r="G476" s="3">
        <v>494.27598763683358</v>
      </c>
      <c r="H476" s="20">
        <v>13.723594386335279</v>
      </c>
      <c r="I476" s="20">
        <v>57.509640457693266</v>
      </c>
      <c r="J476" s="20">
        <v>28.766765155971456</v>
      </c>
      <c r="K476" s="3">
        <v>1.2213596956829438</v>
      </c>
      <c r="L476" s="3">
        <v>0.53910954879888906</v>
      </c>
      <c r="M476" s="3">
        <v>0.14360058442049811</v>
      </c>
      <c r="N476" s="3">
        <v>1.6009280742459395</v>
      </c>
      <c r="O476" s="23" t="s">
        <v>56</v>
      </c>
    </row>
    <row r="477" spans="1:15" x14ac:dyDescent="0.25">
      <c r="A477" s="1" t="s">
        <v>28</v>
      </c>
      <c r="B477" s="2">
        <v>475</v>
      </c>
      <c r="C477" s="3">
        <v>208715.19899999999</v>
      </c>
      <c r="D477" s="3">
        <v>6953395.8609999996</v>
      </c>
      <c r="E477" s="3" t="s">
        <v>19</v>
      </c>
      <c r="F477" s="19" t="s">
        <v>30</v>
      </c>
      <c r="G477" s="3">
        <v>591.37479520151987</v>
      </c>
      <c r="H477" s="20">
        <v>14.725572284369367</v>
      </c>
      <c r="I477" s="20">
        <v>58.715806274178846</v>
      </c>
      <c r="J477" s="20">
        <v>26.558621441451791</v>
      </c>
      <c r="K477" s="3">
        <v>1.2679303650139684</v>
      </c>
      <c r="L477" s="3">
        <v>0.5215357113154836</v>
      </c>
      <c r="M477" s="3">
        <v>6.1353590559737547E-2</v>
      </c>
      <c r="N477" s="3">
        <v>1.7633410672853829</v>
      </c>
      <c r="O477" s="23" t="s">
        <v>56</v>
      </c>
    </row>
    <row r="478" spans="1:15" x14ac:dyDescent="0.25">
      <c r="A478" s="1" t="s">
        <v>28</v>
      </c>
      <c r="B478" s="2">
        <v>476</v>
      </c>
      <c r="C478" s="3">
        <v>208715.19899999999</v>
      </c>
      <c r="D478" s="3">
        <v>6953395.8609999996</v>
      </c>
      <c r="E478" s="3" t="s">
        <v>19</v>
      </c>
      <c r="F478" s="19" t="s">
        <v>30</v>
      </c>
      <c r="G478" s="3">
        <v>328.25734739415395</v>
      </c>
      <c r="H478" s="20">
        <v>18.896529319400049</v>
      </c>
      <c r="I478" s="20">
        <v>55.435685021748178</v>
      </c>
      <c r="J478" s="20">
        <v>25.667785658851777</v>
      </c>
      <c r="K478" s="3">
        <v>1.2230184005661711</v>
      </c>
      <c r="L478" s="3">
        <v>0.53848362242785996</v>
      </c>
      <c r="M478" s="3">
        <v>0.12878351627074769</v>
      </c>
      <c r="N478" s="3">
        <v>1.6821345707656612</v>
      </c>
      <c r="O478" s="23" t="s">
        <v>56</v>
      </c>
    </row>
    <row r="479" spans="1:15" x14ac:dyDescent="0.25">
      <c r="A479" s="1" t="s">
        <v>28</v>
      </c>
      <c r="B479" s="2">
        <v>477</v>
      </c>
      <c r="C479" s="3">
        <v>208715.19899999999</v>
      </c>
      <c r="D479" s="3">
        <v>6953395.8609999996</v>
      </c>
      <c r="E479" s="3" t="s">
        <v>19</v>
      </c>
      <c r="F479" s="19" t="s">
        <v>31</v>
      </c>
      <c r="G479" s="3">
        <v>2595.5919500271248</v>
      </c>
      <c r="H479" s="20">
        <v>17.970384639107447</v>
      </c>
      <c r="I479" s="20">
        <v>57.029639083546257</v>
      </c>
      <c r="J479" s="20">
        <v>24.999976277346288</v>
      </c>
      <c r="K479" s="3">
        <v>1.1928886820079498</v>
      </c>
      <c r="L479" s="3">
        <v>0.54985332754416993</v>
      </c>
      <c r="M479" s="3">
        <v>0.10820203044301774</v>
      </c>
      <c r="N479" s="3">
        <v>2.0823665893271461</v>
      </c>
      <c r="O479" s="23" t="s">
        <v>56</v>
      </c>
    </row>
    <row r="480" spans="1:15" x14ac:dyDescent="0.25">
      <c r="A480" s="1" t="s">
        <v>28</v>
      </c>
      <c r="B480" s="2">
        <v>478</v>
      </c>
      <c r="C480" s="3">
        <v>208715.19899999999</v>
      </c>
      <c r="D480" s="3">
        <v>6953395.8609999996</v>
      </c>
      <c r="E480" s="3" t="s">
        <v>19</v>
      </c>
      <c r="F480" s="19" t="s">
        <v>32</v>
      </c>
      <c r="G480" s="3">
        <v>847.94658780362124</v>
      </c>
      <c r="H480" s="20">
        <v>14.715755874745533</v>
      </c>
      <c r="I480" s="20">
        <v>59.163777447581268</v>
      </c>
      <c r="J480" s="20">
        <v>26.12046667767321</v>
      </c>
      <c r="K480" s="3">
        <v>1.2379467445152155</v>
      </c>
      <c r="L480" s="3">
        <v>0.53285028508859789</v>
      </c>
      <c r="M480" s="3">
        <v>0.1511638614037662</v>
      </c>
      <c r="N480" s="3">
        <v>1.6821345707656612</v>
      </c>
      <c r="O480" s="23" t="s">
        <v>56</v>
      </c>
    </row>
    <row r="481" spans="1:15" x14ac:dyDescent="0.25">
      <c r="A481" s="1" t="s">
        <v>28</v>
      </c>
      <c r="B481" s="2">
        <v>479</v>
      </c>
      <c r="C481" s="3">
        <v>208715.19899999999</v>
      </c>
      <c r="D481" s="3">
        <v>6953395.8609999996</v>
      </c>
      <c r="E481" s="3" t="s">
        <v>19</v>
      </c>
      <c r="F481" s="19" t="s">
        <v>33</v>
      </c>
      <c r="G481" s="3">
        <v>2032.0692933923817</v>
      </c>
      <c r="H481" s="20">
        <v>16.997335047656467</v>
      </c>
      <c r="I481" s="20">
        <v>59.684445933839342</v>
      </c>
      <c r="J481" s="20">
        <v>23.318219018504198</v>
      </c>
      <c r="K481" s="3">
        <v>1.3388155612546051</v>
      </c>
      <c r="L481" s="3">
        <v>0.49478658065863956</v>
      </c>
      <c r="M481" s="3">
        <v>2.8173343308480869E-2</v>
      </c>
      <c r="N481" s="3">
        <v>1.919953596287703</v>
      </c>
      <c r="O481" s="23" t="s">
        <v>56</v>
      </c>
    </row>
    <row r="482" spans="1:15" x14ac:dyDescent="0.25">
      <c r="A482" s="1" t="s">
        <v>28</v>
      </c>
      <c r="B482" s="2">
        <v>480</v>
      </c>
      <c r="C482" s="3">
        <v>208715.19899999999</v>
      </c>
      <c r="D482" s="3">
        <v>6953395.8609999996</v>
      </c>
      <c r="E482" s="3" t="s">
        <v>19</v>
      </c>
      <c r="F482" s="19" t="s">
        <v>34</v>
      </c>
      <c r="G482" s="3">
        <v>824.39520938025089</v>
      </c>
      <c r="H482" s="20">
        <v>16.948320250296025</v>
      </c>
      <c r="I482" s="20">
        <v>61.018863424318681</v>
      </c>
      <c r="J482" s="20">
        <v>22.032816325385301</v>
      </c>
      <c r="K482" s="3">
        <v>1.1832094833687188</v>
      </c>
      <c r="L482" s="3">
        <v>0.55350585533255892</v>
      </c>
      <c r="M482" s="3">
        <v>0.17274093436063143</v>
      </c>
      <c r="N482" s="3">
        <v>1.6821345707656612</v>
      </c>
      <c r="O482" s="23" t="s">
        <v>56</v>
      </c>
    </row>
    <row r="483" spans="1:15" x14ac:dyDescent="0.25">
      <c r="A483" s="1" t="s">
        <v>28</v>
      </c>
      <c r="B483" s="2">
        <v>481</v>
      </c>
      <c r="C483" s="3">
        <v>208715.19899999999</v>
      </c>
      <c r="D483" s="3">
        <v>6953395.8609999996</v>
      </c>
      <c r="E483" s="3" t="s">
        <v>19</v>
      </c>
      <c r="F483" s="19" t="s">
        <v>35</v>
      </c>
      <c r="G483" s="3">
        <v>2015.3580102523158</v>
      </c>
      <c r="H483" s="20">
        <v>16.778214462892553</v>
      </c>
      <c r="I483" s="20">
        <v>61.672266336330324</v>
      </c>
      <c r="J483" s="20">
        <v>21.549519200777123</v>
      </c>
      <c r="K483" s="3">
        <v>1.141768827871074</v>
      </c>
      <c r="L483" s="3">
        <v>0.56914383853921735</v>
      </c>
      <c r="M483" s="3">
        <v>0.13955490108273094</v>
      </c>
      <c r="N483" s="3">
        <v>1.919953596287703</v>
      </c>
      <c r="O483" s="23" t="s">
        <v>56</v>
      </c>
    </row>
    <row r="484" spans="1:15" ht="15.75" thickBot="1" x14ac:dyDescent="0.3">
      <c r="A484" s="7" t="s">
        <v>28</v>
      </c>
      <c r="B484" s="2">
        <v>482</v>
      </c>
      <c r="C484" s="9">
        <v>208715.19899999999</v>
      </c>
      <c r="D484" s="9">
        <v>6953395.8609999996</v>
      </c>
      <c r="E484" s="9" t="s">
        <v>19</v>
      </c>
      <c r="F484" s="16" t="s">
        <v>36</v>
      </c>
      <c r="G484" s="9">
        <v>2552.7060324548866</v>
      </c>
      <c r="H484" s="17">
        <v>13.730020004112443</v>
      </c>
      <c r="I484" s="17">
        <v>62.18963721944467</v>
      </c>
      <c r="J484" s="17">
        <v>24.080342776442883</v>
      </c>
      <c r="K484" s="9">
        <v>1.2318648266100494</v>
      </c>
      <c r="L484" s="9">
        <v>0.53514534844903794</v>
      </c>
      <c r="M484" s="9">
        <v>0.15456472801969134</v>
      </c>
      <c r="N484" s="9">
        <v>1.6009280742459395</v>
      </c>
      <c r="O484" s="23" t="s">
        <v>56</v>
      </c>
    </row>
  </sheetData>
  <mergeCells count="15">
    <mergeCell ref="A1:A2"/>
    <mergeCell ref="B1:B2"/>
    <mergeCell ref="E1:E2"/>
    <mergeCell ref="F1:F2"/>
    <mergeCell ref="C1:C2"/>
    <mergeCell ref="D1:D2"/>
    <mergeCell ref="O1:O2"/>
    <mergeCell ref="N1:N2"/>
    <mergeCell ref="G1:G2"/>
    <mergeCell ref="L1:L2"/>
    <mergeCell ref="M1:M2"/>
    <mergeCell ref="H1:H2"/>
    <mergeCell ref="I1:I2"/>
    <mergeCell ref="J1:J2"/>
    <mergeCell ref="K1:K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topLeftCell="A97" workbookViewId="0">
      <selection activeCell="N13" sqref="N13"/>
    </sheetView>
  </sheetViews>
  <sheetFormatPr defaultRowHeight="15" x14ac:dyDescent="0.25"/>
  <cols>
    <col min="1" max="1" width="27.85546875" customWidth="1"/>
    <col min="2" max="2" width="10.42578125" bestFit="1" customWidth="1"/>
    <col min="3" max="3" width="8" bestFit="1" customWidth="1"/>
    <col min="4" max="4" width="8.85546875" bestFit="1" customWidth="1"/>
    <col min="5" max="5" width="11" bestFit="1" customWidth="1"/>
    <col min="6" max="6" width="13.7109375" bestFit="1" customWidth="1"/>
    <col min="7" max="7" width="8" bestFit="1" customWidth="1"/>
    <col min="8" max="8" width="10.85546875" bestFit="1" customWidth="1"/>
    <col min="9" max="9" width="9.85546875" bestFit="1" customWidth="1"/>
    <col min="10" max="10" width="23" bestFit="1" customWidth="1"/>
  </cols>
  <sheetData>
    <row r="2" spans="1:10" x14ac:dyDescent="0.25">
      <c r="A2" s="27"/>
      <c r="B2" s="26" t="s">
        <v>51</v>
      </c>
      <c r="C2" s="26" t="s">
        <v>50</v>
      </c>
      <c r="D2" s="26" t="s">
        <v>49</v>
      </c>
      <c r="E2" s="26" t="s">
        <v>48</v>
      </c>
      <c r="F2" s="26" t="s">
        <v>47</v>
      </c>
      <c r="G2" s="26" t="s">
        <v>46</v>
      </c>
      <c r="H2" s="26" t="s">
        <v>45</v>
      </c>
      <c r="I2" s="26" t="s">
        <v>44</v>
      </c>
      <c r="J2" s="25" t="s">
        <v>43</v>
      </c>
    </row>
    <row r="3" spans="1:10" x14ac:dyDescent="0.25">
      <c r="A3" s="24" t="s">
        <v>15</v>
      </c>
      <c r="B3" s="23">
        <v>86.775000000000006</v>
      </c>
      <c r="C3" s="23">
        <v>39.35</v>
      </c>
      <c r="D3" s="23">
        <v>39.347999999999999</v>
      </c>
      <c r="E3" s="23">
        <v>633.94399999999996</v>
      </c>
      <c r="F3" s="23">
        <v>25.178000000000001</v>
      </c>
      <c r="G3" s="23">
        <v>63.985999999999997</v>
      </c>
      <c r="H3" s="23">
        <v>0.224</v>
      </c>
      <c r="I3" s="23">
        <v>-1.4350000000000001</v>
      </c>
      <c r="J3" s="23" t="s">
        <v>37</v>
      </c>
    </row>
    <row r="4" spans="1:10" x14ac:dyDescent="0.25">
      <c r="A4" s="24" t="s">
        <v>16</v>
      </c>
      <c r="B4" s="23">
        <v>72.131</v>
      </c>
      <c r="C4" s="23">
        <v>26.295999999999999</v>
      </c>
      <c r="D4" s="23">
        <v>23.675000000000001</v>
      </c>
      <c r="E4" s="23">
        <v>212.221</v>
      </c>
      <c r="F4" s="23">
        <v>14.568</v>
      </c>
      <c r="G4" s="23">
        <v>55.4</v>
      </c>
      <c r="H4" s="23">
        <v>0.90100000000000002</v>
      </c>
      <c r="I4" s="23">
        <v>0.32600000000000001</v>
      </c>
      <c r="J4" s="23" t="s">
        <v>37</v>
      </c>
    </row>
    <row r="5" spans="1:10" x14ac:dyDescent="0.25">
      <c r="A5" s="24" t="s">
        <v>17</v>
      </c>
      <c r="B5" s="23">
        <v>78.884</v>
      </c>
      <c r="C5" s="23">
        <v>34.356000000000002</v>
      </c>
      <c r="D5" s="23">
        <v>23.882000000000001</v>
      </c>
      <c r="E5" s="23">
        <v>468.404</v>
      </c>
      <c r="F5" s="23">
        <v>21.643000000000001</v>
      </c>
      <c r="G5" s="23">
        <v>62.996000000000002</v>
      </c>
      <c r="H5" s="23">
        <v>0.57899999999999996</v>
      </c>
      <c r="I5" s="23">
        <v>-1.2929999999999999</v>
      </c>
      <c r="J5" s="23" t="s">
        <v>37</v>
      </c>
    </row>
    <row r="6" spans="1:10" x14ac:dyDescent="0.25">
      <c r="A6" s="24" t="s">
        <v>4</v>
      </c>
      <c r="B6" s="23">
        <v>0.94799999999999995</v>
      </c>
      <c r="C6" s="23">
        <v>1.393</v>
      </c>
      <c r="D6" s="23">
        <v>1.409</v>
      </c>
      <c r="E6" s="23">
        <v>0.03</v>
      </c>
      <c r="F6" s="23">
        <v>0.17299999999999999</v>
      </c>
      <c r="G6" s="23">
        <v>12.41</v>
      </c>
      <c r="H6" s="23">
        <v>-0.625</v>
      </c>
      <c r="I6" s="23">
        <v>0.249</v>
      </c>
      <c r="J6" s="23" t="s">
        <v>42</v>
      </c>
    </row>
    <row r="7" spans="1:10" x14ac:dyDescent="0.25">
      <c r="A7" s="24" t="s">
        <v>5</v>
      </c>
      <c r="B7" s="23">
        <v>1.8129999999999999</v>
      </c>
      <c r="C7" s="23">
        <v>2.242</v>
      </c>
      <c r="D7" s="23">
        <v>2.65</v>
      </c>
      <c r="E7" s="23">
        <v>0.32600000000000001</v>
      </c>
      <c r="F7" s="23">
        <v>0.57099999999999995</v>
      </c>
      <c r="G7" s="23">
        <v>25.466000000000001</v>
      </c>
      <c r="H7" s="23">
        <v>-0.79600000000000004</v>
      </c>
      <c r="I7" s="23">
        <v>-1.25</v>
      </c>
      <c r="J7" s="23" t="s">
        <v>37</v>
      </c>
    </row>
    <row r="8" spans="1:10" x14ac:dyDescent="0.25">
      <c r="A8" s="24" t="s">
        <v>6</v>
      </c>
      <c r="B8" s="23">
        <v>0.40699999999999997</v>
      </c>
      <c r="C8" s="23">
        <v>0.47199999999999998</v>
      </c>
      <c r="D8" s="23">
        <v>0.46899999999999997</v>
      </c>
      <c r="E8" s="23">
        <v>5.0000000000000001E-3</v>
      </c>
      <c r="F8" s="23">
        <v>7.0000000000000007E-2</v>
      </c>
      <c r="G8" s="23">
        <v>14.907999999999999</v>
      </c>
      <c r="H8" s="23">
        <v>0.38500000000000001</v>
      </c>
      <c r="I8" s="23">
        <v>-6.5000000000000002E-2</v>
      </c>
      <c r="J8" s="23" t="s">
        <v>42</v>
      </c>
    </row>
    <row r="9" spans="1:10" x14ac:dyDescent="0.25">
      <c r="A9" s="24" t="s">
        <v>7</v>
      </c>
      <c r="B9" s="23">
        <v>0.53600000000000003</v>
      </c>
      <c r="C9" s="23">
        <v>0.219</v>
      </c>
      <c r="D9" s="23">
        <v>0.21199999999999999</v>
      </c>
      <c r="E9" s="23">
        <v>8.0000000000000002E-3</v>
      </c>
      <c r="F9" s="23">
        <v>9.0999999999999998E-2</v>
      </c>
      <c r="G9" s="23">
        <v>41.404000000000003</v>
      </c>
      <c r="H9" s="23">
        <v>0.26</v>
      </c>
      <c r="I9" s="23">
        <v>-0.23699999999999999</v>
      </c>
      <c r="J9" s="23" t="s">
        <v>42</v>
      </c>
    </row>
    <row r="10" spans="1:10" x14ac:dyDescent="0.25">
      <c r="A10" s="24" t="s">
        <v>8</v>
      </c>
      <c r="B10" s="23">
        <v>0.54</v>
      </c>
      <c r="C10" s="23">
        <v>0.22700000000000001</v>
      </c>
      <c r="D10" s="23">
        <v>0.21099999999999999</v>
      </c>
      <c r="E10" s="23">
        <v>1.4999999999999999E-2</v>
      </c>
      <c r="F10" s="23">
        <v>0.123</v>
      </c>
      <c r="G10" s="23">
        <v>54.177</v>
      </c>
      <c r="H10" s="23">
        <v>0.54400000000000004</v>
      </c>
      <c r="I10" s="23">
        <v>-0.50600000000000001</v>
      </c>
      <c r="J10" s="23" t="s">
        <v>37</v>
      </c>
    </row>
    <row r="11" spans="1:10" x14ac:dyDescent="0.25">
      <c r="A11" s="24" t="s">
        <v>9</v>
      </c>
      <c r="B11" s="23">
        <v>0.51300000000000001</v>
      </c>
      <c r="C11" s="23">
        <v>0.246</v>
      </c>
      <c r="D11" s="23">
        <v>0.23699999999999999</v>
      </c>
      <c r="E11" s="23">
        <v>1.2999999999999999E-2</v>
      </c>
      <c r="F11" s="23">
        <v>0.113</v>
      </c>
      <c r="G11" s="23">
        <v>46.195999999999998</v>
      </c>
      <c r="H11" s="23">
        <v>-1E-3</v>
      </c>
      <c r="I11" s="23">
        <v>-0.56699999999999995</v>
      </c>
      <c r="J11" s="23" t="s">
        <v>42</v>
      </c>
    </row>
    <row r="12" spans="1:10" x14ac:dyDescent="0.25">
      <c r="A12" s="24" t="s">
        <v>10</v>
      </c>
      <c r="B12" s="23">
        <v>3.177</v>
      </c>
      <c r="C12" s="23">
        <v>1.635</v>
      </c>
      <c r="D12" s="23">
        <v>1.6240000000000001</v>
      </c>
      <c r="E12" s="23">
        <v>0.48699999999999999</v>
      </c>
      <c r="F12" s="23">
        <v>0.69799999999999995</v>
      </c>
      <c r="G12" s="23">
        <v>42.683</v>
      </c>
      <c r="H12" s="23">
        <v>-0.50700000000000001</v>
      </c>
      <c r="I12" s="23">
        <v>-0.24</v>
      </c>
      <c r="J12" s="23" t="s">
        <v>37</v>
      </c>
    </row>
    <row r="13" spans="1:10" x14ac:dyDescent="0.25">
      <c r="A13" s="24" t="s">
        <v>11</v>
      </c>
      <c r="B13" s="23">
        <v>5.476</v>
      </c>
      <c r="C13" s="23">
        <v>2.8180000000000001</v>
      </c>
      <c r="D13" s="23">
        <v>2.8</v>
      </c>
      <c r="E13" s="23">
        <v>1.4470000000000001</v>
      </c>
      <c r="F13" s="23">
        <v>1.2030000000000001</v>
      </c>
      <c r="G13" s="23">
        <v>42.683</v>
      </c>
      <c r="H13" s="23">
        <v>-0.50700000000000001</v>
      </c>
      <c r="I13" s="23">
        <v>-0.24</v>
      </c>
      <c r="J13" s="23" t="s">
        <v>37</v>
      </c>
    </row>
    <row r="14" spans="1:10" x14ac:dyDescent="0.25">
      <c r="A14" s="24" t="s">
        <v>41</v>
      </c>
      <c r="B14" s="23">
        <v>17561.058000000001</v>
      </c>
      <c r="C14" s="23">
        <v>973.43700000000001</v>
      </c>
      <c r="D14" s="23">
        <v>258.25</v>
      </c>
      <c r="E14" s="23">
        <v>2677932.08</v>
      </c>
      <c r="F14" s="23">
        <v>1636.4390000000001</v>
      </c>
      <c r="G14" s="23">
        <v>168.10900000000001</v>
      </c>
      <c r="H14" s="23">
        <v>3.5609999999999999</v>
      </c>
      <c r="I14" s="23">
        <v>21.925000000000001</v>
      </c>
      <c r="J14" s="23" t="s">
        <v>37</v>
      </c>
    </row>
    <row r="15" spans="1:10" x14ac:dyDescent="0.25">
      <c r="A15" s="24" t="s">
        <v>40</v>
      </c>
      <c r="B15" s="23">
        <v>1.216</v>
      </c>
      <c r="C15" s="23">
        <v>0.29499999999999998</v>
      </c>
      <c r="D15" s="23">
        <v>0.27800000000000002</v>
      </c>
      <c r="E15" s="23">
        <v>1.0999999999999999E-2</v>
      </c>
      <c r="F15" s="23">
        <v>0.107</v>
      </c>
      <c r="G15" s="23">
        <v>36.290999999999997</v>
      </c>
      <c r="H15" s="23">
        <v>1.8149999999999999</v>
      </c>
      <c r="I15" s="23">
        <v>14.243</v>
      </c>
      <c r="J15" s="23" t="s">
        <v>37</v>
      </c>
    </row>
    <row r="16" spans="1:10" x14ac:dyDescent="0.25">
      <c r="A16" s="24" t="s">
        <v>39</v>
      </c>
      <c r="B16" s="23">
        <v>0.53300000000000003</v>
      </c>
      <c r="C16" s="23">
        <v>0.254</v>
      </c>
      <c r="D16" s="23">
        <v>0.23699999999999999</v>
      </c>
      <c r="E16" s="23">
        <v>8.9999999999999993E-3</v>
      </c>
      <c r="F16" s="23">
        <v>9.5000000000000001E-2</v>
      </c>
      <c r="G16" s="23">
        <v>37.298999999999999</v>
      </c>
      <c r="H16" s="23">
        <v>0.28899999999999998</v>
      </c>
      <c r="I16" s="23">
        <v>-0.91800000000000004</v>
      </c>
      <c r="J16" s="23" t="s">
        <v>37</v>
      </c>
    </row>
    <row r="17" spans="1:10" x14ac:dyDescent="0.25">
      <c r="A17" s="22" t="s">
        <v>38</v>
      </c>
      <c r="B17" s="21">
        <v>0.503</v>
      </c>
      <c r="C17" s="21">
        <v>0.17399999999999999</v>
      </c>
      <c r="D17" s="21">
        <v>0.17299999999999999</v>
      </c>
      <c r="E17" s="21">
        <v>6.0000000000000001E-3</v>
      </c>
      <c r="F17" s="21">
        <v>7.4999999999999997E-2</v>
      </c>
      <c r="G17" s="21">
        <v>43.07</v>
      </c>
      <c r="H17" s="21">
        <v>0.20799999999999999</v>
      </c>
      <c r="I17" s="21">
        <v>-0.40600000000000003</v>
      </c>
      <c r="J17" s="21" t="s">
        <v>37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85"/>
  <sheetViews>
    <sheetView workbookViewId="0">
      <selection activeCell="K9" sqref="K9"/>
    </sheetView>
  </sheetViews>
  <sheetFormatPr defaultRowHeight="15" x14ac:dyDescent="0.25"/>
  <cols>
    <col min="5" max="5" width="11.28515625" bestFit="1" customWidth="1"/>
  </cols>
  <sheetData>
    <row r="1" spans="2:11" ht="15.75" x14ac:dyDescent="0.25">
      <c r="B1" s="56" t="s">
        <v>59</v>
      </c>
      <c r="C1" s="57"/>
      <c r="E1" s="56" t="s">
        <v>61</v>
      </c>
      <c r="F1" s="57"/>
    </row>
    <row r="2" spans="2:11" ht="15.75" x14ac:dyDescent="0.25">
      <c r="B2" s="34" t="s">
        <v>1</v>
      </c>
      <c r="C2" s="35" t="s">
        <v>60</v>
      </c>
      <c r="E2" s="36" t="s">
        <v>1</v>
      </c>
      <c r="F2" s="37" t="s">
        <v>60</v>
      </c>
    </row>
    <row r="3" spans="2:11" x14ac:dyDescent="0.25">
      <c r="B3" s="30">
        <v>1</v>
      </c>
      <c r="C3" s="31">
        <f>10^(2.039-0.00874*Dados!I3-0.00723*Dados!J3)</f>
        <v>31.21122786641499</v>
      </c>
      <c r="E3" s="38">
        <v>1</v>
      </c>
      <c r="F3" s="39">
        <f>10^(3.998-0.0101*Dados!I3-0.0152*Dados!J3-1.163*Dados!K3)</f>
        <v>56.462006760047871</v>
      </c>
    </row>
    <row r="4" spans="2:11" x14ac:dyDescent="0.25">
      <c r="B4" s="30">
        <v>2</v>
      </c>
      <c r="C4" s="31">
        <f>10^(2.039-0.00874*Dados!I4-0.00723*Dados!J4)</f>
        <v>47.648672888577245</v>
      </c>
      <c r="E4" s="30">
        <v>2</v>
      </c>
      <c r="F4" s="28">
        <f>10^(3.998-0.0101*Dados!I4-0.0152*Dados!J4-1.163*Dados!K4)</f>
        <v>61.157348957796927</v>
      </c>
    </row>
    <row r="5" spans="2:11" x14ac:dyDescent="0.25">
      <c r="B5" s="30">
        <v>3</v>
      </c>
      <c r="C5" s="31">
        <f>10^(2.039-0.00874*Dados!I5-0.00723*Dados!J5)</f>
        <v>45.202501276876703</v>
      </c>
      <c r="E5" s="30">
        <v>3</v>
      </c>
      <c r="F5" s="28">
        <f>10^(3.998-0.0101*Dados!I5-0.0152*Dados!J5-1.163*Dados!K5)</f>
        <v>25.467121633183012</v>
      </c>
    </row>
    <row r="6" spans="2:11" x14ac:dyDescent="0.25">
      <c r="B6" s="30">
        <v>4</v>
      </c>
      <c r="C6" s="31">
        <f>10^(2.039-0.00874*Dados!I6-0.00723*Dados!J6)</f>
        <v>42.062854158729472</v>
      </c>
      <c r="E6" s="30">
        <v>4</v>
      </c>
      <c r="F6" s="28">
        <f>10^(3.998-0.0101*Dados!I6-0.0152*Dados!J6-1.163*Dados!K6)</f>
        <v>62.416286397830341</v>
      </c>
    </row>
    <row r="7" spans="2:11" x14ac:dyDescent="0.25">
      <c r="B7" s="30">
        <v>5</v>
      </c>
      <c r="C7" s="31">
        <f>10^(2.039-0.00874*Dados!I7-0.00723*Dados!J7)</f>
        <v>47.56266160830905</v>
      </c>
      <c r="E7" s="30">
        <v>5</v>
      </c>
      <c r="F7" s="28">
        <f>10^(3.998-0.0101*Dados!I7-0.0152*Dados!J7-1.163*Dados!K7)</f>
        <v>45.690073402936157</v>
      </c>
      <c r="K7">
        <f>44/10</f>
        <v>4.4000000000000004</v>
      </c>
    </row>
    <row r="8" spans="2:11" x14ac:dyDescent="0.25">
      <c r="B8" s="30">
        <v>6</v>
      </c>
      <c r="C8" s="31">
        <f>10^(2.039-0.00874*Dados!I8-0.00723*Dados!J8)</f>
        <v>52.499586591755794</v>
      </c>
      <c r="E8" s="30">
        <v>6</v>
      </c>
      <c r="F8" s="28">
        <f>10^(3.998-0.0101*Dados!I8-0.0152*Dados!J8-1.163*Dados!K8)</f>
        <v>52.44421680848523</v>
      </c>
      <c r="K8">
        <f>K7*24</f>
        <v>105.60000000000001</v>
      </c>
    </row>
    <row r="9" spans="2:11" x14ac:dyDescent="0.25">
      <c r="B9" s="30">
        <v>7</v>
      </c>
      <c r="C9" s="31">
        <f>10^(2.039-0.00874*Dados!I9-0.00723*Dados!J9)</f>
        <v>52.790055375358108</v>
      </c>
      <c r="E9" s="30">
        <v>7</v>
      </c>
      <c r="F9" s="28">
        <f>10^(3.998-0.0101*Dados!I9-0.0152*Dados!J9-1.163*Dados!K9)</f>
        <v>43.775514748386087</v>
      </c>
    </row>
    <row r="10" spans="2:11" x14ac:dyDescent="0.25">
      <c r="B10" s="30">
        <v>8</v>
      </c>
      <c r="C10" s="31">
        <f>10^(2.039-0.00874*Dados!I10-0.00723*Dados!J10)</f>
        <v>48.310833070083177</v>
      </c>
      <c r="E10" s="30">
        <v>8</v>
      </c>
      <c r="F10" s="28">
        <f>10^(3.998-0.0101*Dados!I10-0.0152*Dados!J10-1.163*Dados!K10)</f>
        <v>48.259706661822101</v>
      </c>
    </row>
    <row r="11" spans="2:11" x14ac:dyDescent="0.25">
      <c r="B11" s="30">
        <v>9</v>
      </c>
      <c r="C11" s="31">
        <f>10^(2.039-0.00874*Dados!I11-0.00723*Dados!J11)</f>
        <v>47.774071764173812</v>
      </c>
      <c r="E11" s="30">
        <v>9</v>
      </c>
      <c r="F11" s="28">
        <f>10^(3.998-0.0101*Dados!I11-0.0152*Dados!J11-1.163*Dados!K11)</f>
        <v>78.137011178560002</v>
      </c>
    </row>
    <row r="12" spans="2:11" x14ac:dyDescent="0.25">
      <c r="B12" s="30">
        <v>10</v>
      </c>
      <c r="C12" s="31">
        <f>10^(2.039-0.00874*Dados!I12-0.00723*Dados!J12)</f>
        <v>42.695048183592007</v>
      </c>
      <c r="E12" s="30">
        <v>10</v>
      </c>
      <c r="F12" s="28">
        <f>10^(3.998-0.0101*Dados!I12-0.0152*Dados!J12-1.163*Dados!K12)</f>
        <v>32.062858882457064</v>
      </c>
    </row>
    <row r="13" spans="2:11" x14ac:dyDescent="0.25">
      <c r="B13" s="30">
        <v>11</v>
      </c>
      <c r="C13" s="31">
        <f>10^(2.039-0.00874*Dados!I13-0.00723*Dados!J13)</f>
        <v>41.119304158949156</v>
      </c>
      <c r="E13" s="30">
        <v>11</v>
      </c>
      <c r="F13" s="28">
        <f>10^(3.998-0.0101*Dados!I13-0.0152*Dados!J13-1.163*Dados!K13)</f>
        <v>42.362880083969351</v>
      </c>
    </row>
    <row r="14" spans="2:11" x14ac:dyDescent="0.25">
      <c r="B14" s="30">
        <v>12</v>
      </c>
      <c r="C14" s="31">
        <f>10^(2.039-0.00874*Dados!I14-0.00723*Dados!J14)</f>
        <v>43.416389456991297</v>
      </c>
      <c r="E14" s="30">
        <v>12</v>
      </c>
      <c r="F14" s="28">
        <f>10^(3.998-0.0101*Dados!I14-0.0152*Dados!J14-1.163*Dados!K14)</f>
        <v>27.410400182545118</v>
      </c>
    </row>
    <row r="15" spans="2:11" x14ac:dyDescent="0.25">
      <c r="B15" s="30">
        <v>13</v>
      </c>
      <c r="C15" s="31">
        <f>10^(2.039-0.00874*Dados!I15-0.00723*Dados!J15)</f>
        <v>34.721268478763996</v>
      </c>
      <c r="E15" s="30">
        <v>13</v>
      </c>
      <c r="F15" s="28">
        <f>10^(3.998-0.0101*Dados!I15-0.0152*Dados!J15-1.163*Dados!K15)</f>
        <v>174.10782696742459</v>
      </c>
    </row>
    <row r="16" spans="2:11" x14ac:dyDescent="0.25">
      <c r="B16" s="30">
        <v>14</v>
      </c>
      <c r="C16" s="31">
        <f>10^(2.039-0.00874*Dados!I16-0.00723*Dados!J16)</f>
        <v>36.626073838919332</v>
      </c>
      <c r="E16" s="30">
        <v>14</v>
      </c>
      <c r="F16" s="28">
        <f>10^(3.998-0.0101*Dados!I16-0.0152*Dados!J16-1.163*Dados!K16)</f>
        <v>157.96360854199534</v>
      </c>
    </row>
    <row r="17" spans="2:6" x14ac:dyDescent="0.25">
      <c r="B17" s="30">
        <v>15</v>
      </c>
      <c r="C17" s="31">
        <f>10^(2.039-0.00874*Dados!I17-0.00723*Dados!J17)</f>
        <v>44.283549130470384</v>
      </c>
      <c r="E17" s="30">
        <v>15</v>
      </c>
      <c r="F17" s="28">
        <f>10^(3.998-0.0101*Dados!I17-0.0152*Dados!J17-1.163*Dados!K17)</f>
        <v>72.341343608124319</v>
      </c>
    </row>
    <row r="18" spans="2:6" x14ac:dyDescent="0.25">
      <c r="B18" s="30">
        <v>16</v>
      </c>
      <c r="C18" s="31">
        <f>10^(2.039-0.00874*Dados!I18-0.00723*Dados!J18)</f>
        <v>35.548731305043404</v>
      </c>
      <c r="E18" s="30">
        <v>16</v>
      </c>
      <c r="F18" s="28">
        <f>10^(3.998-0.0101*Dados!I18-0.0152*Dados!J18-1.163*Dados!K18)</f>
        <v>200.32645965998728</v>
      </c>
    </row>
    <row r="19" spans="2:6" x14ac:dyDescent="0.25">
      <c r="B19" s="30">
        <v>17</v>
      </c>
      <c r="C19" s="31">
        <f>10^(2.039-0.00874*Dados!I19-0.00723*Dados!J19)</f>
        <v>52.104907536886429</v>
      </c>
      <c r="E19" s="30">
        <v>17</v>
      </c>
      <c r="F19" s="28">
        <f>10^(3.998-0.0101*Dados!I19-0.0152*Dados!J19-1.163*Dados!K19)</f>
        <v>117.45150444086626</v>
      </c>
    </row>
    <row r="20" spans="2:6" x14ac:dyDescent="0.25">
      <c r="B20" s="30">
        <v>18</v>
      </c>
      <c r="C20" s="31">
        <f>10^(2.039-0.00874*Dados!I20-0.00723*Dados!J20)</f>
        <v>47.531783430427048</v>
      </c>
      <c r="E20" s="30">
        <v>18</v>
      </c>
      <c r="F20" s="28">
        <f>10^(3.998-0.0101*Dados!I20-0.0152*Dados!J20-1.163*Dados!K20)</f>
        <v>77.861192911349178</v>
      </c>
    </row>
    <row r="21" spans="2:6" x14ac:dyDescent="0.25">
      <c r="B21" s="30">
        <v>19</v>
      </c>
      <c r="C21" s="31">
        <f>10^(2.039-0.00874*Dados!I21-0.00723*Dados!J21)</f>
        <v>41.231774070360245</v>
      </c>
      <c r="E21" s="30">
        <v>19</v>
      </c>
      <c r="F21" s="28">
        <f>10^(3.998-0.0101*Dados!I21-0.0152*Dados!J21-1.163*Dados!K21)</f>
        <v>37.007947485763026</v>
      </c>
    </row>
    <row r="22" spans="2:6" x14ac:dyDescent="0.25">
      <c r="B22" s="30">
        <v>20</v>
      </c>
      <c r="C22" s="31">
        <f>10^(2.039-0.00874*Dados!I22-0.00723*Dados!J22)</f>
        <v>32.701043951277583</v>
      </c>
      <c r="E22" s="30">
        <v>20</v>
      </c>
      <c r="F22" s="28">
        <f>10^(3.998-0.0101*Dados!I22-0.0152*Dados!J22-1.163*Dados!K22)</f>
        <v>107.935944954501</v>
      </c>
    </row>
    <row r="23" spans="2:6" x14ac:dyDescent="0.25">
      <c r="B23" s="30">
        <v>21</v>
      </c>
      <c r="C23" s="31">
        <f>10^(2.039-0.00874*Dados!I23-0.00723*Dados!J23)</f>
        <v>43.902265184168641</v>
      </c>
      <c r="E23" s="30">
        <v>21</v>
      </c>
      <c r="F23" s="28">
        <f>10^(3.998-0.0101*Dados!I23-0.0152*Dados!J23-1.163*Dados!K23)</f>
        <v>47.471574520441436</v>
      </c>
    </row>
    <row r="24" spans="2:6" x14ac:dyDescent="0.25">
      <c r="B24" s="30">
        <v>22</v>
      </c>
      <c r="C24" s="31">
        <f>10^(2.039-0.00874*Dados!I24-0.00723*Dados!J24)</f>
        <v>44.183157472998104</v>
      </c>
      <c r="E24" s="30">
        <v>22</v>
      </c>
      <c r="F24" s="28">
        <f>10^(3.998-0.0101*Dados!I24-0.0152*Dados!J24-1.163*Dados!K24)</f>
        <v>45.585768709127713</v>
      </c>
    </row>
    <row r="25" spans="2:6" x14ac:dyDescent="0.25">
      <c r="B25" s="30">
        <v>23</v>
      </c>
      <c r="C25" s="31">
        <f>10^(2.039-0.00874*Dados!I25-0.00723*Dados!J25)</f>
        <v>44.821729375836391</v>
      </c>
      <c r="E25" s="30">
        <v>23</v>
      </c>
      <c r="F25" s="28">
        <f>10^(3.998-0.0101*Dados!I25-0.0152*Dados!J25-1.163*Dados!K25)</f>
        <v>50.396484097827091</v>
      </c>
    </row>
    <row r="26" spans="2:6" x14ac:dyDescent="0.25">
      <c r="B26" s="30">
        <v>24</v>
      </c>
      <c r="C26" s="31">
        <f>10^(2.039-0.00874*Dados!I26-0.00723*Dados!J26)</f>
        <v>30.830078904223623</v>
      </c>
      <c r="E26" s="30">
        <v>24</v>
      </c>
      <c r="F26" s="28">
        <f>10^(3.998-0.0101*Dados!I26-0.0152*Dados!J26-1.163*Dados!K26)</f>
        <v>33.079799061368902</v>
      </c>
    </row>
    <row r="27" spans="2:6" x14ac:dyDescent="0.25">
      <c r="B27" s="30">
        <v>25</v>
      </c>
      <c r="C27" s="31">
        <f>10^(2.039-0.00874*Dados!I27-0.00723*Dados!J27)</f>
        <v>52.300602332671744</v>
      </c>
      <c r="E27" s="30">
        <v>25</v>
      </c>
      <c r="F27" s="28">
        <f>10^(3.998-0.0101*Dados!I27-0.0152*Dados!J27-1.163*Dados!K27)</f>
        <v>80.065574850496418</v>
      </c>
    </row>
    <row r="28" spans="2:6" x14ac:dyDescent="0.25">
      <c r="B28" s="30">
        <v>26</v>
      </c>
      <c r="C28" s="31">
        <f>10^(2.039-0.00874*Dados!I28-0.00723*Dados!J28)</f>
        <v>43.317671486256373</v>
      </c>
      <c r="E28" s="30">
        <v>26</v>
      </c>
      <c r="F28" s="28">
        <f>10^(3.998-0.0101*Dados!I28-0.0152*Dados!J28-1.163*Dados!K28)</f>
        <v>51.331880748959698</v>
      </c>
    </row>
    <row r="29" spans="2:6" x14ac:dyDescent="0.25">
      <c r="B29" s="30">
        <v>27</v>
      </c>
      <c r="C29" s="31">
        <f>10^(2.039-0.00874*Dados!I29-0.00723*Dados!J29)</f>
        <v>40.88522520966535</v>
      </c>
      <c r="E29" s="30">
        <v>27</v>
      </c>
      <c r="F29" s="28">
        <f>10^(3.998-0.0101*Dados!I29-0.0152*Dados!J29-1.163*Dados!K29)</f>
        <v>36.039141765234824</v>
      </c>
    </row>
    <row r="30" spans="2:6" x14ac:dyDescent="0.25">
      <c r="B30" s="30">
        <v>28</v>
      </c>
      <c r="C30" s="31">
        <f>10^(2.039-0.00874*Dados!I30-0.00723*Dados!J30)</f>
        <v>39.120683321475568</v>
      </c>
      <c r="E30" s="30">
        <v>28</v>
      </c>
      <c r="F30" s="28">
        <f>10^(3.998-0.0101*Dados!I30-0.0152*Dados!J30-1.163*Dados!K30)</f>
        <v>42.959931151003111</v>
      </c>
    </row>
    <row r="31" spans="2:6" x14ac:dyDescent="0.25">
      <c r="B31" s="30">
        <v>29</v>
      </c>
      <c r="C31" s="31">
        <f>10^(2.039-0.00874*Dados!I31-0.00723*Dados!J31)</f>
        <v>43.923630055066425</v>
      </c>
      <c r="E31" s="30">
        <v>29</v>
      </c>
      <c r="F31" s="28">
        <f>10^(3.998-0.0101*Dados!I31-0.0152*Dados!J31-1.163*Dados!K31)</f>
        <v>30.962102237985505</v>
      </c>
    </row>
    <row r="32" spans="2:6" x14ac:dyDescent="0.25">
      <c r="B32" s="30">
        <v>30</v>
      </c>
      <c r="C32" s="31">
        <f>10^(2.039-0.00874*Dados!I32-0.00723*Dados!J32)</f>
        <v>52.424110577882438</v>
      </c>
      <c r="E32" s="30">
        <v>30</v>
      </c>
      <c r="F32" s="28">
        <f>10^(3.998-0.0101*Dados!I32-0.0152*Dados!J32-1.163*Dados!K32)</f>
        <v>49.982882055370467</v>
      </c>
    </row>
    <row r="33" spans="2:6" x14ac:dyDescent="0.25">
      <c r="B33" s="30">
        <v>31</v>
      </c>
      <c r="C33" s="31">
        <f>10^(2.039-0.00874*Dados!I33-0.00723*Dados!J33)</f>
        <v>42.348861494474122</v>
      </c>
      <c r="E33" s="30">
        <v>31</v>
      </c>
      <c r="F33" s="28">
        <f>10^(3.998-0.0101*Dados!I33-0.0152*Dados!J33-1.163*Dados!K33)</f>
        <v>49.105975517460941</v>
      </c>
    </row>
    <row r="34" spans="2:6" x14ac:dyDescent="0.25">
      <c r="B34" s="30">
        <v>32</v>
      </c>
      <c r="C34" s="31">
        <f>10^(2.039-0.00874*Dados!I34-0.00723*Dados!J34)</f>
        <v>46.159586108999022</v>
      </c>
      <c r="E34" s="30">
        <v>32</v>
      </c>
      <c r="F34" s="28">
        <f>10^(3.998-0.0101*Dados!I34-0.0152*Dados!J34-1.163*Dados!K34)</f>
        <v>36.105808295539198</v>
      </c>
    </row>
    <row r="35" spans="2:6" x14ac:dyDescent="0.25">
      <c r="B35" s="30">
        <v>33</v>
      </c>
      <c r="C35" s="31">
        <f>10^(2.039-0.00874*Dados!I35-0.00723*Dados!J35)</f>
        <v>56.157711547370219</v>
      </c>
      <c r="E35" s="30">
        <v>33</v>
      </c>
      <c r="F35" s="28">
        <f>10^(3.998-0.0101*Dados!I35-0.0152*Dados!J35-1.163*Dados!K35)</f>
        <v>78.928959642935737</v>
      </c>
    </row>
    <row r="36" spans="2:6" x14ac:dyDescent="0.25">
      <c r="B36" s="30">
        <v>34</v>
      </c>
      <c r="C36" s="31">
        <f>10^(2.039-0.00874*Dados!I36-0.00723*Dados!J36)</f>
        <v>44.40724149269095</v>
      </c>
      <c r="E36" s="30">
        <v>34</v>
      </c>
      <c r="F36" s="28">
        <f>10^(3.998-0.0101*Dados!I36-0.0152*Dados!J36-1.163*Dados!K36)</f>
        <v>57.265846785310671</v>
      </c>
    </row>
    <row r="37" spans="2:6" x14ac:dyDescent="0.25">
      <c r="B37" s="30">
        <v>35</v>
      </c>
      <c r="C37" s="31">
        <f>10^(2.039-0.00874*Dados!I37-0.00723*Dados!J37)</f>
        <v>42.700610877283346</v>
      </c>
      <c r="E37" s="30">
        <v>35</v>
      </c>
      <c r="F37" s="28">
        <f>10^(3.998-0.0101*Dados!I37-0.0152*Dados!J37-1.163*Dados!K37)</f>
        <v>64.650427472295803</v>
      </c>
    </row>
    <row r="38" spans="2:6" x14ac:dyDescent="0.25">
      <c r="B38" s="30">
        <v>36</v>
      </c>
      <c r="C38" s="31">
        <f>10^(2.039-0.00874*Dados!I38-0.00723*Dados!J38)</f>
        <v>41.773014878655587</v>
      </c>
      <c r="E38" s="30">
        <v>36</v>
      </c>
      <c r="F38" s="28">
        <f>10^(3.998-0.0101*Dados!I38-0.0152*Dados!J38-1.163*Dados!K38)</f>
        <v>68.12793406716716</v>
      </c>
    </row>
    <row r="39" spans="2:6" x14ac:dyDescent="0.25">
      <c r="B39" s="30">
        <v>37</v>
      </c>
      <c r="C39" s="31">
        <f>10^(2.039-0.00874*Dados!I39-0.00723*Dados!J39)</f>
        <v>42.330902388976845</v>
      </c>
      <c r="E39" s="30">
        <v>37</v>
      </c>
      <c r="F39" s="28">
        <f>10^(3.998-0.0101*Dados!I39-0.0152*Dados!J39-1.163*Dados!K39)</f>
        <v>46.021723842336449</v>
      </c>
    </row>
    <row r="40" spans="2:6" x14ac:dyDescent="0.25">
      <c r="B40" s="30">
        <v>38</v>
      </c>
      <c r="C40" s="31">
        <f>10^(2.039-0.00874*Dados!I40-0.00723*Dados!J40)</f>
        <v>52.669959443295163</v>
      </c>
      <c r="E40" s="30">
        <v>38</v>
      </c>
      <c r="F40" s="28">
        <f>10^(3.998-0.0101*Dados!I40-0.0152*Dados!J40-1.163*Dados!K40)</f>
        <v>62.291975961149568</v>
      </c>
    </row>
    <row r="41" spans="2:6" x14ac:dyDescent="0.25">
      <c r="B41" s="30">
        <v>39</v>
      </c>
      <c r="C41" s="31">
        <f>10^(2.039-0.00874*Dados!I41-0.00723*Dados!J41)</f>
        <v>40.995438167703149</v>
      </c>
      <c r="E41" s="30">
        <v>39</v>
      </c>
      <c r="F41" s="28">
        <f>10^(3.998-0.0101*Dados!I41-0.0152*Dados!J41-1.163*Dados!K41)</f>
        <v>65.14647311063959</v>
      </c>
    </row>
    <row r="42" spans="2:6" x14ac:dyDescent="0.25">
      <c r="B42" s="30">
        <v>40</v>
      </c>
      <c r="C42" s="31">
        <f>10^(2.039-0.00874*Dados!I42-0.00723*Dados!J42)</f>
        <v>39.818611455451112</v>
      </c>
      <c r="E42" s="30">
        <v>40</v>
      </c>
      <c r="F42" s="28">
        <f>10^(3.998-0.0101*Dados!I42-0.0152*Dados!J42-1.163*Dados!K42)</f>
        <v>25.780989850839504</v>
      </c>
    </row>
    <row r="43" spans="2:6" x14ac:dyDescent="0.25">
      <c r="B43" s="30">
        <v>41</v>
      </c>
      <c r="C43" s="31">
        <f>10^(2.039-0.00874*Dados!I43-0.00723*Dados!J43)</f>
        <v>40.628179308975156</v>
      </c>
      <c r="E43" s="30">
        <v>41</v>
      </c>
      <c r="F43" s="28">
        <f>10^(3.998-0.0101*Dados!I43-0.0152*Dados!J43-1.163*Dados!K43)</f>
        <v>42.386119345627222</v>
      </c>
    </row>
    <row r="44" spans="2:6" x14ac:dyDescent="0.25">
      <c r="B44" s="30">
        <v>42</v>
      </c>
      <c r="C44" s="31">
        <f>10^(2.039-0.00874*Dados!I44-0.00723*Dados!J44)</f>
        <v>39.821832294889823</v>
      </c>
      <c r="E44" s="30">
        <v>42</v>
      </c>
      <c r="F44" s="28">
        <f>10^(3.998-0.0101*Dados!I44-0.0152*Dados!J44-1.163*Dados!K44)</f>
        <v>32.758428179993629</v>
      </c>
    </row>
    <row r="45" spans="2:6" x14ac:dyDescent="0.25">
      <c r="B45" s="30">
        <v>43</v>
      </c>
      <c r="C45" s="31">
        <f>10^(2.039-0.00874*Dados!I45-0.00723*Dados!J45)</f>
        <v>39.129050240666345</v>
      </c>
      <c r="E45" s="30">
        <v>43</v>
      </c>
      <c r="F45" s="28">
        <f>10^(3.998-0.0101*Dados!I45-0.0152*Dados!J45-1.163*Dados!K45)</f>
        <v>45.733930363385923</v>
      </c>
    </row>
    <row r="46" spans="2:6" x14ac:dyDescent="0.25">
      <c r="B46" s="30">
        <v>44</v>
      </c>
      <c r="C46" s="31">
        <f>10^(2.039-0.00874*Dados!I46-0.00723*Dados!J46)</f>
        <v>42.548425721820635</v>
      </c>
      <c r="E46" s="30">
        <v>44</v>
      </c>
      <c r="F46" s="28">
        <f>10^(3.998-0.0101*Dados!I46-0.0152*Dados!J46-1.163*Dados!K46)</f>
        <v>50.49074691200849</v>
      </c>
    </row>
    <row r="47" spans="2:6" x14ac:dyDescent="0.25">
      <c r="B47" s="30">
        <v>45</v>
      </c>
      <c r="C47" s="31">
        <f>10^(2.039-0.00874*Dados!I47-0.00723*Dados!J47)</f>
        <v>41.949634846413119</v>
      </c>
      <c r="E47" s="30">
        <v>45</v>
      </c>
      <c r="F47" s="28">
        <f>10^(3.998-0.0101*Dados!I47-0.0152*Dados!J47-1.163*Dados!K47)</f>
        <v>94.719097664274969</v>
      </c>
    </row>
    <row r="48" spans="2:6" x14ac:dyDescent="0.25">
      <c r="B48" s="30">
        <v>46</v>
      </c>
      <c r="C48" s="31">
        <f>10^(2.039-0.00874*Dados!I48-0.00723*Dados!J48)</f>
        <v>48.584953737573592</v>
      </c>
      <c r="E48" s="30">
        <v>46</v>
      </c>
      <c r="F48" s="28">
        <f>10^(3.998-0.0101*Dados!I48-0.0152*Dados!J48-1.163*Dados!K48)</f>
        <v>54.008331455128705</v>
      </c>
    </row>
    <row r="49" spans="2:6" x14ac:dyDescent="0.25">
      <c r="B49" s="30">
        <v>47</v>
      </c>
      <c r="C49" s="31">
        <f>10^(2.039-0.00874*Dados!I49-0.00723*Dados!J49)</f>
        <v>47.794501216723376</v>
      </c>
      <c r="E49" s="30">
        <v>47</v>
      </c>
      <c r="F49" s="28">
        <f>10^(3.998-0.0101*Dados!I49-0.0152*Dados!J49-1.163*Dados!K49)</f>
        <v>47.394918786365913</v>
      </c>
    </row>
    <row r="50" spans="2:6" x14ac:dyDescent="0.25">
      <c r="B50" s="30">
        <v>48</v>
      </c>
      <c r="C50" s="31">
        <f>10^(2.039-0.00874*Dados!I50-0.00723*Dados!J50)</f>
        <v>41.747377394782625</v>
      </c>
      <c r="E50" s="30">
        <v>48</v>
      </c>
      <c r="F50" s="28">
        <f>10^(3.998-0.0101*Dados!I50-0.0152*Dados!J50-1.163*Dados!K50)</f>
        <v>50.934703339572451</v>
      </c>
    </row>
    <row r="51" spans="2:6" x14ac:dyDescent="0.25">
      <c r="B51" s="30">
        <v>49</v>
      </c>
      <c r="C51" s="31">
        <f>10^(2.039-0.00874*Dados!I51-0.00723*Dados!J51)</f>
        <v>41.357229092540948</v>
      </c>
      <c r="E51" s="30">
        <v>49</v>
      </c>
      <c r="F51" s="28">
        <f>10^(3.998-0.0101*Dados!I51-0.0152*Dados!J51-1.163*Dados!K51)</f>
        <v>55.400496977212363</v>
      </c>
    </row>
    <row r="52" spans="2:6" x14ac:dyDescent="0.25">
      <c r="B52" s="30">
        <v>50</v>
      </c>
      <c r="C52" s="31">
        <f>10^(2.039-0.00874*Dados!I52-0.00723*Dados!J52)</f>
        <v>34.838716090300835</v>
      </c>
      <c r="E52" s="30">
        <v>50</v>
      </c>
      <c r="F52" s="28">
        <f>10^(3.998-0.0101*Dados!I52-0.0152*Dados!J52-1.163*Dados!K52)</f>
        <v>66.309425267293349</v>
      </c>
    </row>
    <row r="53" spans="2:6" x14ac:dyDescent="0.25">
      <c r="B53" s="30">
        <v>51</v>
      </c>
      <c r="C53" s="31">
        <f>10^(2.039-0.00874*Dados!I53-0.00723*Dados!J53)</f>
        <v>40.653559686404698</v>
      </c>
      <c r="E53" s="30">
        <v>51</v>
      </c>
      <c r="F53" s="28">
        <f>10^(3.998-0.0101*Dados!I53-0.0152*Dados!J53-1.163*Dados!K53)</f>
        <v>41.056158004641837</v>
      </c>
    </row>
    <row r="54" spans="2:6" x14ac:dyDescent="0.25">
      <c r="B54" s="30">
        <v>52</v>
      </c>
      <c r="C54" s="31">
        <f>10^(2.039-0.00874*Dados!I54-0.00723*Dados!J54)</f>
        <v>43.678970354602498</v>
      </c>
      <c r="E54" s="30">
        <v>52</v>
      </c>
      <c r="F54" s="28">
        <f>10^(3.998-0.0101*Dados!I54-0.0152*Dados!J54-1.163*Dados!K54)</f>
        <v>38.565354021660006</v>
      </c>
    </row>
    <row r="55" spans="2:6" x14ac:dyDescent="0.25">
      <c r="B55" s="30">
        <v>53</v>
      </c>
      <c r="C55" s="31">
        <f>10^(2.039-0.00874*Dados!I55-0.00723*Dados!J55)</f>
        <v>45.591332694904644</v>
      </c>
      <c r="E55" s="30">
        <v>53</v>
      </c>
      <c r="F55" s="28">
        <f>10^(3.998-0.0101*Dados!I55-0.0152*Dados!J55-1.163*Dados!K55)</f>
        <v>67.347449409728625</v>
      </c>
    </row>
    <row r="56" spans="2:6" x14ac:dyDescent="0.25">
      <c r="B56" s="30">
        <v>54</v>
      </c>
      <c r="C56" s="31">
        <f>10^(2.039-0.00874*Dados!I56-0.00723*Dados!J56)</f>
        <v>41.285960025643192</v>
      </c>
      <c r="E56" s="30">
        <v>54</v>
      </c>
      <c r="F56" s="28">
        <f>10^(3.998-0.0101*Dados!I56-0.0152*Dados!J56-1.163*Dados!K56)</f>
        <v>63.43979233008114</v>
      </c>
    </row>
    <row r="57" spans="2:6" x14ac:dyDescent="0.25">
      <c r="B57" s="30">
        <v>55</v>
      </c>
      <c r="C57" s="31">
        <f>10^(2.039-0.00874*Dados!I57-0.00723*Dados!J57)</f>
        <v>39.167365883710147</v>
      </c>
      <c r="E57" s="30">
        <v>55</v>
      </c>
      <c r="F57" s="28">
        <f>10^(3.998-0.0101*Dados!I57-0.0152*Dados!J57-1.163*Dados!K57)</f>
        <v>146.85024202730835</v>
      </c>
    </row>
    <row r="58" spans="2:6" x14ac:dyDescent="0.25">
      <c r="B58" s="30">
        <v>56</v>
      </c>
      <c r="C58" s="31">
        <f>10^(2.039-0.00874*Dados!I58-0.00723*Dados!J58)</f>
        <v>49.556068276300486</v>
      </c>
      <c r="E58" s="30">
        <v>56</v>
      </c>
      <c r="F58" s="28">
        <f>10^(3.998-0.0101*Dados!I58-0.0152*Dados!J58-1.163*Dados!K58)</f>
        <v>68.886518674160854</v>
      </c>
    </row>
    <row r="59" spans="2:6" x14ac:dyDescent="0.25">
      <c r="B59" s="30">
        <v>57</v>
      </c>
      <c r="C59" s="31">
        <f>10^(2.039-0.00874*Dados!I59-0.00723*Dados!J59)</f>
        <v>46.000155763136206</v>
      </c>
      <c r="E59" s="30">
        <v>57</v>
      </c>
      <c r="F59" s="28">
        <f>10^(3.998-0.0101*Dados!I59-0.0152*Dados!J59-1.163*Dados!K59)</f>
        <v>64.991211565800839</v>
      </c>
    </row>
    <row r="60" spans="2:6" x14ac:dyDescent="0.25">
      <c r="B60" s="30">
        <v>58</v>
      </c>
      <c r="C60" s="31">
        <f>10^(2.039-0.00874*Dados!I60-0.00723*Dados!J60)</f>
        <v>38.94394451655161</v>
      </c>
      <c r="E60" s="30">
        <v>58</v>
      </c>
      <c r="F60" s="28">
        <f>10^(3.998-0.0101*Dados!I60-0.0152*Dados!J60-1.163*Dados!K60)</f>
        <v>40.273434617581394</v>
      </c>
    </row>
    <row r="61" spans="2:6" x14ac:dyDescent="0.25">
      <c r="B61" s="30">
        <v>59</v>
      </c>
      <c r="C61" s="31">
        <f>10^(2.039-0.00874*Dados!I61-0.00723*Dados!J61)</f>
        <v>36.862418028815291</v>
      </c>
      <c r="E61" s="30">
        <v>59</v>
      </c>
      <c r="F61" s="28">
        <f>10^(3.998-0.0101*Dados!I61-0.0152*Dados!J61-1.163*Dados!K61)</f>
        <v>45.013957309602688</v>
      </c>
    </row>
    <row r="62" spans="2:6" x14ac:dyDescent="0.25">
      <c r="B62" s="30">
        <v>60</v>
      </c>
      <c r="C62" s="31">
        <f>10^(2.039-0.00874*Dados!I62-0.00723*Dados!J62)</f>
        <v>44.396102078613787</v>
      </c>
      <c r="E62" s="30">
        <v>60</v>
      </c>
      <c r="F62" s="28">
        <f>10^(3.998-0.0101*Dados!I62-0.0152*Dados!J62-1.163*Dados!K62)</f>
        <v>72.393680755207754</v>
      </c>
    </row>
    <row r="63" spans="2:6" x14ac:dyDescent="0.25">
      <c r="B63" s="30">
        <v>61</v>
      </c>
      <c r="C63" s="31">
        <f>10^(2.039-0.00874*Dados!I63-0.00723*Dados!J63)</f>
        <v>37.422719356651164</v>
      </c>
      <c r="E63" s="30">
        <v>61</v>
      </c>
      <c r="F63" s="28">
        <f>10^(3.998-0.0101*Dados!I63-0.0152*Dados!J63-1.163*Dados!K63)</f>
        <v>50.168023828865465</v>
      </c>
    </row>
    <row r="64" spans="2:6" x14ac:dyDescent="0.25">
      <c r="B64" s="30">
        <v>62</v>
      </c>
      <c r="C64" s="31">
        <f>10^(2.039-0.00874*Dados!I64-0.00723*Dados!J64)</f>
        <v>35.180103723200148</v>
      </c>
      <c r="E64" s="30">
        <v>62</v>
      </c>
      <c r="F64" s="28">
        <f>10^(3.998-0.0101*Dados!I64-0.0152*Dados!J64-1.163*Dados!K64)</f>
        <v>39.725331217069346</v>
      </c>
    </row>
    <row r="65" spans="2:6" x14ac:dyDescent="0.25">
      <c r="B65" s="30">
        <v>63</v>
      </c>
      <c r="C65" s="31">
        <f>10^(2.039-0.00874*Dados!I65-0.00723*Dados!J65)</f>
        <v>49.601535658306027</v>
      </c>
      <c r="E65" s="30">
        <v>63</v>
      </c>
      <c r="F65" s="28">
        <f>10^(3.998-0.0101*Dados!I65-0.0152*Dados!J65-1.163*Dados!K65)</f>
        <v>37.09702693760925</v>
      </c>
    </row>
    <row r="66" spans="2:6" x14ac:dyDescent="0.25">
      <c r="B66" s="30">
        <v>64</v>
      </c>
      <c r="C66" s="31">
        <f>10^(2.039-0.00874*Dados!I66-0.00723*Dados!J66)</f>
        <v>55.219485883916498</v>
      </c>
      <c r="E66" s="30">
        <v>64</v>
      </c>
      <c r="F66" s="28">
        <f>10^(3.998-0.0101*Dados!I66-0.0152*Dados!J66-1.163*Dados!K66)</f>
        <v>73.901945551203028</v>
      </c>
    </row>
    <row r="67" spans="2:6" x14ac:dyDescent="0.25">
      <c r="B67" s="30">
        <v>65</v>
      </c>
      <c r="C67" s="31">
        <f>10^(2.039-0.00874*Dados!I67-0.00723*Dados!J67)</f>
        <v>41.637717076776262</v>
      </c>
      <c r="E67" s="30">
        <v>65</v>
      </c>
      <c r="F67" s="28">
        <f>10^(3.998-0.0101*Dados!I67-0.0152*Dados!J67-1.163*Dados!K67)</f>
        <v>136.76014019034</v>
      </c>
    </row>
    <row r="68" spans="2:6" x14ac:dyDescent="0.25">
      <c r="B68" s="30">
        <v>66</v>
      </c>
      <c r="C68" s="31">
        <f>10^(2.039-0.00874*Dados!I68-0.00723*Dados!J68)</f>
        <v>37.362899005227824</v>
      </c>
      <c r="E68" s="30">
        <v>66</v>
      </c>
      <c r="F68" s="28">
        <f>10^(3.998-0.0101*Dados!I68-0.0152*Dados!J68-1.163*Dados!K68)</f>
        <v>127.48587397539079</v>
      </c>
    </row>
    <row r="69" spans="2:6" x14ac:dyDescent="0.25">
      <c r="B69" s="30">
        <v>67</v>
      </c>
      <c r="C69" s="31">
        <f>10^(2.039-0.00874*Dados!I69-0.00723*Dados!J69)</f>
        <v>43.786780352445312</v>
      </c>
      <c r="E69" s="30">
        <v>67</v>
      </c>
      <c r="F69" s="28">
        <f>10^(3.998-0.0101*Dados!I69-0.0152*Dados!J69-1.163*Dados!K69)</f>
        <v>56.105209371253814</v>
      </c>
    </row>
    <row r="70" spans="2:6" x14ac:dyDescent="0.25">
      <c r="B70" s="30">
        <v>68</v>
      </c>
      <c r="C70" s="31">
        <f>10^(2.039-0.00874*Dados!I70-0.00723*Dados!J70)</f>
        <v>47.292896391308552</v>
      </c>
      <c r="E70" s="30">
        <v>68</v>
      </c>
      <c r="F70" s="28">
        <f>10^(3.998-0.0101*Dados!I70-0.0152*Dados!J70-1.163*Dados!K70)</f>
        <v>71.138872753296425</v>
      </c>
    </row>
    <row r="71" spans="2:6" x14ac:dyDescent="0.25">
      <c r="B71" s="30">
        <v>69</v>
      </c>
      <c r="C71" s="31">
        <f>10^(2.039-0.00874*Dados!I71-0.00723*Dados!J71)</f>
        <v>35.066536987324078</v>
      </c>
      <c r="E71" s="30">
        <v>69</v>
      </c>
      <c r="F71" s="28">
        <f>10^(3.998-0.0101*Dados!I71-0.0152*Dados!J71-1.163*Dados!K71)</f>
        <v>60.294865535153932</v>
      </c>
    </row>
    <row r="72" spans="2:6" x14ac:dyDescent="0.25">
      <c r="B72" s="30">
        <v>70</v>
      </c>
      <c r="C72" s="31">
        <f>10^(2.039-0.00874*Dados!I72-0.00723*Dados!J72)</f>
        <v>41.393057532090722</v>
      </c>
      <c r="E72" s="30">
        <v>70</v>
      </c>
      <c r="F72" s="28">
        <f>10^(3.998-0.0101*Dados!I72-0.0152*Dados!J72-1.163*Dados!K72)</f>
        <v>68.105041886799469</v>
      </c>
    </row>
    <row r="73" spans="2:6" x14ac:dyDescent="0.25">
      <c r="B73" s="30">
        <v>71</v>
      </c>
      <c r="C73" s="31">
        <f>10^(2.039-0.00874*Dados!I73-0.00723*Dados!J73)</f>
        <v>44.726885335931335</v>
      </c>
      <c r="E73" s="30">
        <v>71</v>
      </c>
      <c r="F73" s="28">
        <f>10^(3.998-0.0101*Dados!I73-0.0152*Dados!J73-1.163*Dados!K73)</f>
        <v>200.2692508873192</v>
      </c>
    </row>
    <row r="74" spans="2:6" x14ac:dyDescent="0.25">
      <c r="B74" s="30">
        <v>72</v>
      </c>
      <c r="C74" s="31">
        <f>10^(2.039-0.00874*Dados!I74-0.00723*Dados!J74)</f>
        <v>28.932975276386184</v>
      </c>
      <c r="E74" s="30">
        <v>72</v>
      </c>
      <c r="F74" s="28">
        <f>10^(3.998-0.0101*Dados!I74-0.0152*Dados!J74-1.163*Dados!K74)</f>
        <v>33.314987514187017</v>
      </c>
    </row>
    <row r="75" spans="2:6" x14ac:dyDescent="0.25">
      <c r="B75" s="30">
        <v>73</v>
      </c>
      <c r="C75" s="31">
        <f>10^(2.039-0.00874*Dados!I75-0.00723*Dados!J75)</f>
        <v>37.45476076093906</v>
      </c>
      <c r="E75" s="30">
        <v>73</v>
      </c>
      <c r="F75" s="28">
        <f>10^(3.998-0.0101*Dados!I75-0.0152*Dados!J75-1.163*Dados!K75)</f>
        <v>80.780344859481431</v>
      </c>
    </row>
    <row r="76" spans="2:6" x14ac:dyDescent="0.25">
      <c r="B76" s="30">
        <v>74</v>
      </c>
      <c r="C76" s="31">
        <f>10^(2.039-0.00874*Dados!I76-0.00723*Dados!J76)</f>
        <v>51.405960555637243</v>
      </c>
      <c r="E76" s="30">
        <v>74</v>
      </c>
      <c r="F76" s="28">
        <f>10^(3.998-0.0101*Dados!I76-0.0152*Dados!J76-1.163*Dados!K76)</f>
        <v>110.71743532352158</v>
      </c>
    </row>
    <row r="77" spans="2:6" x14ac:dyDescent="0.25">
      <c r="B77" s="30">
        <v>75</v>
      </c>
      <c r="C77" s="31">
        <f>10^(2.039-0.00874*Dados!I77-0.00723*Dados!J77)</f>
        <v>49.596129897406904</v>
      </c>
      <c r="E77" s="30">
        <v>75</v>
      </c>
      <c r="F77" s="28">
        <f>10^(3.998-0.0101*Dados!I77-0.0152*Dados!J77-1.163*Dados!K77)</f>
        <v>74.735905491905939</v>
      </c>
    </row>
    <row r="78" spans="2:6" x14ac:dyDescent="0.25">
      <c r="B78" s="30">
        <v>76</v>
      </c>
      <c r="C78" s="31">
        <f>10^(2.039-0.00874*Dados!I78-0.00723*Dados!J78)</f>
        <v>44.891916228332398</v>
      </c>
      <c r="E78" s="30">
        <v>76</v>
      </c>
      <c r="F78" s="28">
        <f>10^(3.998-0.0101*Dados!I78-0.0152*Dados!J78-1.163*Dados!K78)</f>
        <v>222.07675364975154</v>
      </c>
    </row>
    <row r="79" spans="2:6" x14ac:dyDescent="0.25">
      <c r="B79" s="30">
        <v>77</v>
      </c>
      <c r="C79" s="31">
        <f>10^(2.039-0.00874*Dados!I79-0.00723*Dados!J79)</f>
        <v>43.037701492579238</v>
      </c>
      <c r="E79" s="30">
        <v>77</v>
      </c>
      <c r="F79" s="28">
        <f>10^(3.998-0.0101*Dados!I79-0.0152*Dados!J79-1.163*Dados!K79)</f>
        <v>77.759441132640831</v>
      </c>
    </row>
    <row r="80" spans="2:6" x14ac:dyDescent="0.25">
      <c r="B80" s="30">
        <v>78</v>
      </c>
      <c r="C80" s="31">
        <f>10^(2.039-0.00874*Dados!I80-0.00723*Dados!J80)</f>
        <v>41.916616498019422</v>
      </c>
      <c r="E80" s="30">
        <v>78</v>
      </c>
      <c r="F80" s="28">
        <f>10^(3.998-0.0101*Dados!I80-0.0152*Dados!J80-1.163*Dados!K80)</f>
        <v>43.495064251961402</v>
      </c>
    </row>
    <row r="81" spans="2:6" x14ac:dyDescent="0.25">
      <c r="B81" s="30">
        <v>79</v>
      </c>
      <c r="C81" s="31">
        <f>10^(2.039-0.00874*Dados!I81-0.00723*Dados!J81)</f>
        <v>40.560276667769557</v>
      </c>
      <c r="E81" s="30">
        <v>79</v>
      </c>
      <c r="F81" s="28">
        <f>10^(3.998-0.0101*Dados!I81-0.0152*Dados!J81-1.163*Dados!K81)</f>
        <v>48.014173866203834</v>
      </c>
    </row>
    <row r="82" spans="2:6" x14ac:dyDescent="0.25">
      <c r="B82" s="30">
        <v>80</v>
      </c>
      <c r="C82" s="31">
        <f>10^(2.039-0.00874*Dados!I82-0.00723*Dados!J82)</f>
        <v>49.303765467732532</v>
      </c>
      <c r="E82" s="30">
        <v>80</v>
      </c>
      <c r="F82" s="28">
        <f>10^(3.998-0.0101*Dados!I82-0.0152*Dados!J82-1.163*Dados!K82)</f>
        <v>86.33085957842512</v>
      </c>
    </row>
    <row r="83" spans="2:6" x14ac:dyDescent="0.25">
      <c r="B83" s="30">
        <v>81</v>
      </c>
      <c r="C83" s="31">
        <f>10^(2.039-0.00874*Dados!I83-0.00723*Dados!J83)</f>
        <v>47.176864740150009</v>
      </c>
      <c r="E83" s="30">
        <v>81</v>
      </c>
      <c r="F83" s="28">
        <f>10^(3.998-0.0101*Dados!I83-0.0152*Dados!J83-1.163*Dados!K83)</f>
        <v>74.713870580964112</v>
      </c>
    </row>
    <row r="84" spans="2:6" x14ac:dyDescent="0.25">
      <c r="B84" s="30">
        <v>82</v>
      </c>
      <c r="C84" s="31">
        <f>10^(2.039-0.00874*Dados!I84-0.00723*Dados!J84)</f>
        <v>45.607879951521731</v>
      </c>
      <c r="E84" s="30">
        <v>82</v>
      </c>
      <c r="F84" s="28">
        <f>10^(3.998-0.0101*Dados!I84-0.0152*Dados!J84-1.163*Dados!K84)</f>
        <v>57.752468992623697</v>
      </c>
    </row>
    <row r="85" spans="2:6" x14ac:dyDescent="0.25">
      <c r="B85" s="30">
        <v>83</v>
      </c>
      <c r="C85" s="31">
        <f>10^(2.039-0.00874*Dados!I85-0.00723*Dados!J85)</f>
        <v>41.99708840985425</v>
      </c>
      <c r="E85" s="30">
        <v>83</v>
      </c>
      <c r="F85" s="28">
        <f>10^(3.998-0.0101*Dados!I85-0.0152*Dados!J85-1.163*Dados!K85)</f>
        <v>49.863082733888803</v>
      </c>
    </row>
    <row r="86" spans="2:6" x14ac:dyDescent="0.25">
      <c r="B86" s="30">
        <v>84</v>
      </c>
      <c r="C86" s="31">
        <f>10^(2.039-0.00874*Dados!I86-0.00723*Dados!J86)</f>
        <v>32.265089166575351</v>
      </c>
      <c r="E86" s="30">
        <v>84</v>
      </c>
      <c r="F86" s="28">
        <f>10^(3.998-0.0101*Dados!I86-0.0152*Dados!J86-1.163*Dados!K86)</f>
        <v>27.997492232810451</v>
      </c>
    </row>
    <row r="87" spans="2:6" x14ac:dyDescent="0.25">
      <c r="B87" s="30">
        <v>85</v>
      </c>
      <c r="C87" s="31">
        <f>10^(2.039-0.00874*Dados!I87-0.00723*Dados!J87)</f>
        <v>49.557895050118319</v>
      </c>
      <c r="E87" s="30">
        <v>85</v>
      </c>
      <c r="F87" s="28">
        <f>10^(3.998-0.0101*Dados!I87-0.0152*Dados!J87-1.163*Dados!K87)</f>
        <v>56.787991717576212</v>
      </c>
    </row>
    <row r="88" spans="2:6" x14ac:dyDescent="0.25">
      <c r="B88" s="30">
        <v>86</v>
      </c>
      <c r="C88" s="31">
        <f>10^(2.039-0.00874*Dados!I88-0.00723*Dados!J88)</f>
        <v>38.861973375597564</v>
      </c>
      <c r="E88" s="30">
        <v>86</v>
      </c>
      <c r="F88" s="28">
        <f>10^(3.998-0.0101*Dados!I88-0.0152*Dados!J88-1.163*Dados!K88)</f>
        <v>72.586166296013928</v>
      </c>
    </row>
    <row r="89" spans="2:6" x14ac:dyDescent="0.25">
      <c r="B89" s="30">
        <v>87</v>
      </c>
      <c r="C89" s="31">
        <f>10^(2.039-0.00874*Dados!I89-0.00723*Dados!J89)</f>
        <v>48.956203876373245</v>
      </c>
      <c r="E89" s="30">
        <v>87</v>
      </c>
      <c r="F89" s="28">
        <f>10^(3.998-0.0101*Dados!I89-0.0152*Dados!J89-1.163*Dados!K89)</f>
        <v>72.643194273920571</v>
      </c>
    </row>
    <row r="90" spans="2:6" x14ac:dyDescent="0.25">
      <c r="B90" s="30">
        <v>88</v>
      </c>
      <c r="C90" s="31">
        <f>10^(2.039-0.00874*Dados!I90-0.00723*Dados!J90)</f>
        <v>36.445479686970216</v>
      </c>
      <c r="E90" s="30">
        <v>88</v>
      </c>
      <c r="F90" s="28">
        <f>10^(3.998-0.0101*Dados!I90-0.0152*Dados!J90-1.163*Dados!K90)</f>
        <v>79.816931282515839</v>
      </c>
    </row>
    <row r="91" spans="2:6" x14ac:dyDescent="0.25">
      <c r="B91" s="30">
        <v>89</v>
      </c>
      <c r="C91" s="31">
        <f>10^(2.039-0.00874*Dados!I91-0.00723*Dados!J91)</f>
        <v>40.954644333906941</v>
      </c>
      <c r="E91" s="30">
        <v>89</v>
      </c>
      <c r="F91" s="28">
        <f>10^(3.998-0.0101*Dados!I91-0.0152*Dados!J91-1.163*Dados!K91)</f>
        <v>81.38828136586757</v>
      </c>
    </row>
    <row r="92" spans="2:6" x14ac:dyDescent="0.25">
      <c r="B92" s="30">
        <v>90</v>
      </c>
      <c r="C92" s="31">
        <f>10^(2.039-0.00874*Dados!I92-0.00723*Dados!J92)</f>
        <v>36.950482480700479</v>
      </c>
      <c r="E92" s="30">
        <v>90</v>
      </c>
      <c r="F92" s="28">
        <f>10^(3.998-0.0101*Dados!I92-0.0152*Dados!J92-1.163*Dados!K92)</f>
        <v>36.411288398620158</v>
      </c>
    </row>
    <row r="93" spans="2:6" x14ac:dyDescent="0.25">
      <c r="B93" s="30">
        <v>91</v>
      </c>
      <c r="C93" s="31">
        <f>10^(2.039-0.00874*Dados!I93-0.00723*Dados!J93)</f>
        <v>36.684392971628945</v>
      </c>
      <c r="E93" s="30">
        <v>91</v>
      </c>
      <c r="F93" s="28">
        <f>10^(3.998-0.0101*Dados!I93-0.0152*Dados!J93-1.163*Dados!K93)</f>
        <v>63.151507659565389</v>
      </c>
    </row>
    <row r="94" spans="2:6" x14ac:dyDescent="0.25">
      <c r="B94" s="30">
        <v>92</v>
      </c>
      <c r="C94" s="31">
        <f>10^(2.039-0.00874*Dados!I94-0.00723*Dados!J94)</f>
        <v>47.444938379318586</v>
      </c>
      <c r="E94" s="30">
        <v>92</v>
      </c>
      <c r="F94" s="28">
        <f>10^(3.998-0.0101*Dados!I94-0.0152*Dados!J94-1.163*Dados!K94)</f>
        <v>72.077745284771723</v>
      </c>
    </row>
    <row r="95" spans="2:6" x14ac:dyDescent="0.25">
      <c r="B95" s="30">
        <v>93</v>
      </c>
      <c r="C95" s="31">
        <f>10^(2.039-0.00874*Dados!I95-0.00723*Dados!J95)</f>
        <v>44.528767419022294</v>
      </c>
      <c r="E95" s="30">
        <v>93</v>
      </c>
      <c r="F95" s="28">
        <f>10^(3.998-0.0101*Dados!I95-0.0152*Dados!J95-1.163*Dados!K95)</f>
        <v>58.706039908123607</v>
      </c>
    </row>
    <row r="96" spans="2:6" x14ac:dyDescent="0.25">
      <c r="B96" s="30">
        <v>94</v>
      </c>
      <c r="C96" s="31">
        <f>10^(2.039-0.00874*Dados!I96-0.00723*Dados!J96)</f>
        <v>36.712564113187987</v>
      </c>
      <c r="E96" s="30">
        <v>94</v>
      </c>
      <c r="F96" s="28">
        <f>10^(3.998-0.0101*Dados!I96-0.0152*Dados!J96-1.163*Dados!K96)</f>
        <v>88.747388791925175</v>
      </c>
    </row>
    <row r="97" spans="2:6" x14ac:dyDescent="0.25">
      <c r="B97" s="30">
        <v>95</v>
      </c>
      <c r="C97" s="31">
        <f>10^(2.039-0.00874*Dados!I97-0.00723*Dados!J97)</f>
        <v>42.895893198778353</v>
      </c>
      <c r="E97" s="30">
        <v>95</v>
      </c>
      <c r="F97" s="28">
        <f>10^(3.998-0.0101*Dados!I97-0.0152*Dados!J97-1.163*Dados!K97)</f>
        <v>60.200686689927828</v>
      </c>
    </row>
    <row r="98" spans="2:6" x14ac:dyDescent="0.25">
      <c r="B98" s="30">
        <v>96</v>
      </c>
      <c r="C98" s="31">
        <f>10^(2.039-0.00874*Dados!I98-0.00723*Dados!J98)</f>
        <v>44.785610994259912</v>
      </c>
      <c r="E98" s="30">
        <v>96</v>
      </c>
      <c r="F98" s="28">
        <f>10^(3.998-0.0101*Dados!I98-0.0152*Dados!J98-1.163*Dados!K98)</f>
        <v>66.600789246449366</v>
      </c>
    </row>
    <row r="99" spans="2:6" x14ac:dyDescent="0.25">
      <c r="B99" s="30">
        <v>97</v>
      </c>
      <c r="C99" s="31">
        <f>10^(2.039-0.00874*Dados!I99-0.00723*Dados!J99)</f>
        <v>44.257488305846415</v>
      </c>
      <c r="E99" s="30">
        <v>97</v>
      </c>
      <c r="F99" s="28">
        <f>10^(3.998-0.0101*Dados!I99-0.0152*Dados!J99-1.163*Dados!K99)</f>
        <v>32.543620414860278</v>
      </c>
    </row>
    <row r="100" spans="2:6" x14ac:dyDescent="0.25">
      <c r="B100" s="30">
        <v>98</v>
      </c>
      <c r="C100" s="31">
        <f>10^(2.039-0.00874*Dados!I100-0.00723*Dados!J100)</f>
        <v>35.259780942109103</v>
      </c>
      <c r="E100" s="30">
        <v>98</v>
      </c>
      <c r="F100" s="28">
        <f>10^(3.998-0.0101*Dados!I100-0.0152*Dados!J100-1.163*Dados!K100)</f>
        <v>39.536988151201584</v>
      </c>
    </row>
    <row r="101" spans="2:6" x14ac:dyDescent="0.25">
      <c r="B101" s="30">
        <v>99</v>
      </c>
      <c r="C101" s="31">
        <f>10^(2.039-0.00874*Dados!I101-0.00723*Dados!J101)</f>
        <v>53.433466904877832</v>
      </c>
      <c r="E101" s="30">
        <v>99</v>
      </c>
      <c r="F101" s="28">
        <f>10^(3.998-0.0101*Dados!I101-0.0152*Dados!J101-1.163*Dados!K101)</f>
        <v>61.843692249994426</v>
      </c>
    </row>
    <row r="102" spans="2:6" x14ac:dyDescent="0.25">
      <c r="B102" s="30">
        <v>100</v>
      </c>
      <c r="C102" s="31">
        <f>10^(2.039-0.00874*Dados!I102-0.00723*Dados!J102)</f>
        <v>64.82658430460998</v>
      </c>
      <c r="E102" s="30">
        <v>100</v>
      </c>
      <c r="F102" s="28">
        <f>10^(3.998-0.0101*Dados!I102-0.0152*Dados!J102-1.163*Dados!K102)</f>
        <v>88.255799977449868</v>
      </c>
    </row>
    <row r="103" spans="2:6" x14ac:dyDescent="0.25">
      <c r="B103" s="30">
        <v>101</v>
      </c>
      <c r="C103" s="31">
        <f>10^(2.039-0.00874*Dados!I103-0.00723*Dados!J103)</f>
        <v>66.596344982862902</v>
      </c>
      <c r="E103" s="30">
        <v>101</v>
      </c>
      <c r="F103" s="28">
        <f>10^(3.998-0.0101*Dados!I103-0.0152*Dados!J103-1.163*Dados!K103)</f>
        <v>57.35501584980252</v>
      </c>
    </row>
    <row r="104" spans="2:6" x14ac:dyDescent="0.25">
      <c r="B104" s="30">
        <v>102</v>
      </c>
      <c r="C104" s="31">
        <f>10^(2.039-0.00874*Dados!I104-0.00723*Dados!J104)</f>
        <v>63.37207253153889</v>
      </c>
      <c r="E104" s="30">
        <v>102</v>
      </c>
      <c r="F104" s="28">
        <f>10^(3.998-0.0101*Dados!I104-0.0152*Dados!J104-1.163*Dados!K104)</f>
        <v>71.323117598550127</v>
      </c>
    </row>
    <row r="105" spans="2:6" x14ac:dyDescent="0.25">
      <c r="B105" s="30">
        <v>103</v>
      </c>
      <c r="C105" s="31">
        <f>10^(2.039-0.00874*Dados!I105-0.00723*Dados!J105)</f>
        <v>72.294529039477453</v>
      </c>
      <c r="E105" s="30">
        <v>103</v>
      </c>
      <c r="F105" s="28">
        <f>10^(3.998-0.0101*Dados!I105-0.0152*Dados!J105-1.163*Dados!K105)</f>
        <v>129.36529433994275</v>
      </c>
    </row>
    <row r="106" spans="2:6" x14ac:dyDescent="0.25">
      <c r="B106" s="30">
        <v>104</v>
      </c>
      <c r="C106" s="31">
        <f>10^(2.039-0.00874*Dados!I106-0.00723*Dados!J106)</f>
        <v>76.605460492377404</v>
      </c>
      <c r="E106" s="30">
        <v>104</v>
      </c>
      <c r="F106" s="28">
        <f>10^(3.998-0.0101*Dados!I106-0.0152*Dados!J106-1.163*Dados!K106)</f>
        <v>80.927691492684346</v>
      </c>
    </row>
    <row r="107" spans="2:6" x14ac:dyDescent="0.25">
      <c r="B107" s="30">
        <v>105</v>
      </c>
      <c r="C107" s="31">
        <f>10^(2.039-0.00874*Dados!I107-0.00723*Dados!J107)</f>
        <v>56.56470996671078</v>
      </c>
      <c r="E107" s="30">
        <v>105</v>
      </c>
      <c r="F107" s="28">
        <f>10^(3.998-0.0101*Dados!I107-0.0152*Dados!J107-1.163*Dados!K107)</f>
        <v>104.71988082940679</v>
      </c>
    </row>
    <row r="108" spans="2:6" x14ac:dyDescent="0.25">
      <c r="B108" s="30">
        <v>106</v>
      </c>
      <c r="C108" s="31">
        <f>10^(2.039-0.00874*Dados!I108-0.00723*Dados!J108)</f>
        <v>52.027468058135966</v>
      </c>
      <c r="E108" s="30">
        <v>106</v>
      </c>
      <c r="F108" s="28">
        <f>10^(3.998-0.0101*Dados!I108-0.0152*Dados!J108-1.163*Dados!K108)</f>
        <v>115.58837036761888</v>
      </c>
    </row>
    <row r="109" spans="2:6" x14ac:dyDescent="0.25">
      <c r="B109" s="30">
        <v>107</v>
      </c>
      <c r="C109" s="31">
        <f>10^(2.039-0.00874*Dados!I109-0.00723*Dados!J109)</f>
        <v>61.667581276075076</v>
      </c>
      <c r="E109" s="30">
        <v>107</v>
      </c>
      <c r="F109" s="28">
        <f>10^(3.998-0.0101*Dados!I109-0.0152*Dados!J109-1.163*Dados!K109)</f>
        <v>109.2634031231167</v>
      </c>
    </row>
    <row r="110" spans="2:6" x14ac:dyDescent="0.25">
      <c r="B110" s="30">
        <v>108</v>
      </c>
      <c r="C110" s="31">
        <f>10^(2.039-0.00874*Dados!I110-0.00723*Dados!J110)</f>
        <v>69.402125405262368</v>
      </c>
      <c r="E110" s="30">
        <v>108</v>
      </c>
      <c r="F110" s="28">
        <f>10^(3.998-0.0101*Dados!I110-0.0152*Dados!J110-1.163*Dados!K110)</f>
        <v>134.29320602960436</v>
      </c>
    </row>
    <row r="111" spans="2:6" x14ac:dyDescent="0.25">
      <c r="B111" s="30">
        <v>109</v>
      </c>
      <c r="C111" s="31">
        <f>10^(2.039-0.00874*Dados!I111-0.00723*Dados!J111)</f>
        <v>64.658898260274356</v>
      </c>
      <c r="E111" s="30">
        <v>109</v>
      </c>
      <c r="F111" s="28">
        <f>10^(3.998-0.0101*Dados!I111-0.0152*Dados!J111-1.163*Dados!K111)</f>
        <v>99.975601839835036</v>
      </c>
    </row>
    <row r="112" spans="2:6" x14ac:dyDescent="0.25">
      <c r="B112" s="30">
        <v>110</v>
      </c>
      <c r="C112" s="31">
        <f>10^(2.039-0.00874*Dados!I112-0.00723*Dados!J112)</f>
        <v>76.013401804268256</v>
      </c>
      <c r="E112" s="30">
        <v>110</v>
      </c>
      <c r="F112" s="28">
        <f>10^(3.998-0.0101*Dados!I112-0.0152*Dados!J112-1.163*Dados!K112)</f>
        <v>105.06315042284096</v>
      </c>
    </row>
    <row r="113" spans="2:6" x14ac:dyDescent="0.25">
      <c r="B113" s="30">
        <v>111</v>
      </c>
      <c r="C113" s="31">
        <f>10^(2.039-0.00874*Dados!I113-0.00723*Dados!J113)</f>
        <v>62.106695776355352</v>
      </c>
      <c r="E113" s="30">
        <v>111</v>
      </c>
      <c r="F113" s="28">
        <f>10^(3.998-0.0101*Dados!I113-0.0152*Dados!J113-1.163*Dados!K113)</f>
        <v>79.259913400470865</v>
      </c>
    </row>
    <row r="114" spans="2:6" x14ac:dyDescent="0.25">
      <c r="B114" s="30">
        <v>112</v>
      </c>
      <c r="C114" s="31">
        <f>10^(2.039-0.00874*Dados!I114-0.00723*Dados!J114)</f>
        <v>79.401063739788086</v>
      </c>
      <c r="E114" s="30">
        <v>112</v>
      </c>
      <c r="F114" s="28">
        <f>10^(3.998-0.0101*Dados!I114-0.0152*Dados!J114-1.163*Dados!K114)</f>
        <v>148.37064633368115</v>
      </c>
    </row>
    <row r="115" spans="2:6" x14ac:dyDescent="0.25">
      <c r="B115" s="30">
        <v>113</v>
      </c>
      <c r="C115" s="31">
        <f>10^(2.039-0.00874*Dados!I115-0.00723*Dados!J115)</f>
        <v>67.018674911055101</v>
      </c>
      <c r="E115" s="30">
        <v>113</v>
      </c>
      <c r="F115" s="28">
        <f>10^(3.998-0.0101*Dados!I115-0.0152*Dados!J115-1.163*Dados!K115)</f>
        <v>102.32481850356612</v>
      </c>
    </row>
    <row r="116" spans="2:6" x14ac:dyDescent="0.25">
      <c r="B116" s="30">
        <v>114</v>
      </c>
      <c r="C116" s="31">
        <f>10^(2.039-0.00874*Dados!I116-0.00723*Dados!J116)</f>
        <v>70.159853731446191</v>
      </c>
      <c r="E116" s="30">
        <v>114</v>
      </c>
      <c r="F116" s="28">
        <f>10^(3.998-0.0101*Dados!I116-0.0152*Dados!J116-1.163*Dados!K116)</f>
        <v>110.14186341946727</v>
      </c>
    </row>
    <row r="117" spans="2:6" x14ac:dyDescent="0.25">
      <c r="B117" s="30">
        <v>115</v>
      </c>
      <c r="C117" s="31">
        <f>10^(2.039-0.00874*Dados!I117-0.00723*Dados!J117)</f>
        <v>60.774253353165214</v>
      </c>
      <c r="E117" s="30">
        <v>115</v>
      </c>
      <c r="F117" s="28">
        <f>10^(3.998-0.0101*Dados!I117-0.0152*Dados!J117-1.163*Dados!K117)</f>
        <v>98.601325556672961</v>
      </c>
    </row>
    <row r="118" spans="2:6" x14ac:dyDescent="0.25">
      <c r="B118" s="30">
        <v>116</v>
      </c>
      <c r="C118" s="31">
        <f>10^(2.039-0.00874*Dados!I118-0.00723*Dados!J118)</f>
        <v>71.704903844685631</v>
      </c>
      <c r="E118" s="30">
        <v>116</v>
      </c>
      <c r="F118" s="28">
        <f>10^(3.998-0.0101*Dados!I118-0.0152*Dados!J118-1.163*Dados!K118)</f>
        <v>76.786657800534314</v>
      </c>
    </row>
    <row r="119" spans="2:6" x14ac:dyDescent="0.25">
      <c r="B119" s="30">
        <v>117</v>
      </c>
      <c r="C119" s="31">
        <f>10^(2.039-0.00874*Dados!I119-0.00723*Dados!J119)</f>
        <v>66.935521037667243</v>
      </c>
      <c r="E119" s="30">
        <v>117</v>
      </c>
      <c r="F119" s="28">
        <f>10^(3.998-0.0101*Dados!I119-0.0152*Dados!J119-1.163*Dados!K119)</f>
        <v>77.160940216985495</v>
      </c>
    </row>
    <row r="120" spans="2:6" x14ac:dyDescent="0.25">
      <c r="B120" s="30">
        <v>118</v>
      </c>
      <c r="C120" s="31">
        <f>10^(2.039-0.00874*Dados!I120-0.00723*Dados!J120)</f>
        <v>70.411956292312738</v>
      </c>
      <c r="E120" s="30">
        <v>118</v>
      </c>
      <c r="F120" s="28">
        <f>10^(3.998-0.0101*Dados!I120-0.0152*Dados!J120-1.163*Dados!K120)</f>
        <v>115.99778460112455</v>
      </c>
    </row>
    <row r="121" spans="2:6" x14ac:dyDescent="0.25">
      <c r="B121" s="30">
        <v>119</v>
      </c>
      <c r="C121" s="31">
        <f>10^(2.039-0.00874*Dados!I121-0.00723*Dados!J121)</f>
        <v>73.529187838049225</v>
      </c>
      <c r="E121" s="30">
        <v>119</v>
      </c>
      <c r="F121" s="28">
        <f>10^(3.998-0.0101*Dados!I121-0.0152*Dados!J121-1.163*Dados!K121)</f>
        <v>173.46540527215774</v>
      </c>
    </row>
    <row r="122" spans="2:6" x14ac:dyDescent="0.25">
      <c r="B122" s="30">
        <v>120</v>
      </c>
      <c r="C122" s="31">
        <f>10^(2.039-0.00874*Dados!I122-0.00723*Dados!J122)</f>
        <v>71.102761180595763</v>
      </c>
      <c r="E122" s="30">
        <v>120</v>
      </c>
      <c r="F122" s="28">
        <f>10^(3.998-0.0101*Dados!I122-0.0152*Dados!J122-1.163*Dados!K122)</f>
        <v>106.355752760572</v>
      </c>
    </row>
    <row r="123" spans="2:6" x14ac:dyDescent="0.25">
      <c r="B123" s="30">
        <v>121</v>
      </c>
      <c r="C123" s="31">
        <f>10^(2.039-0.00874*Dados!I123-0.00723*Dados!J123)</f>
        <v>77.910118744921277</v>
      </c>
      <c r="E123" s="30">
        <v>121</v>
      </c>
      <c r="F123" s="28">
        <f>10^(3.998-0.0101*Dados!I123-0.0152*Dados!J123-1.163*Dados!K123)</f>
        <v>138.38476239345727</v>
      </c>
    </row>
    <row r="124" spans="2:6" x14ac:dyDescent="0.25">
      <c r="B124" s="30">
        <v>122</v>
      </c>
      <c r="C124" s="31">
        <f>10^(2.039-0.00874*Dados!I124-0.00723*Dados!J124)</f>
        <v>59.820996756394351</v>
      </c>
      <c r="E124" s="30">
        <v>122</v>
      </c>
      <c r="F124" s="28">
        <f>10^(3.998-0.0101*Dados!I124-0.0152*Dados!J124-1.163*Dados!K124)</f>
        <v>166.77454763336402</v>
      </c>
    </row>
    <row r="125" spans="2:6" x14ac:dyDescent="0.25">
      <c r="B125" s="30">
        <v>123</v>
      </c>
      <c r="C125" s="31">
        <f>10^(2.039-0.00874*Dados!I125-0.00723*Dados!J125)</f>
        <v>63.124360563529358</v>
      </c>
      <c r="E125" s="30">
        <v>123</v>
      </c>
      <c r="F125" s="28">
        <f>10^(3.998-0.0101*Dados!I125-0.0152*Dados!J125-1.163*Dados!K125)</f>
        <v>108.07385356148313</v>
      </c>
    </row>
    <row r="126" spans="2:6" x14ac:dyDescent="0.25">
      <c r="B126" s="30">
        <v>124</v>
      </c>
      <c r="C126" s="31">
        <f>10^(2.039-0.00874*Dados!I126-0.00723*Dados!J126)</f>
        <v>69.913505397833461</v>
      </c>
      <c r="E126" s="30">
        <v>124</v>
      </c>
      <c r="F126" s="28">
        <f>10^(3.998-0.0101*Dados!I126-0.0152*Dados!J126-1.163*Dados!K126)</f>
        <v>82.308278662951139</v>
      </c>
    </row>
    <row r="127" spans="2:6" x14ac:dyDescent="0.25">
      <c r="B127" s="30">
        <v>125</v>
      </c>
      <c r="C127" s="31">
        <f>10^(2.039-0.00874*Dados!I127-0.00723*Dados!J127)</f>
        <v>60.727348891726528</v>
      </c>
      <c r="E127" s="30">
        <v>125</v>
      </c>
      <c r="F127" s="28">
        <f>10^(3.998-0.0101*Dados!I127-0.0152*Dados!J127-1.163*Dados!K127)</f>
        <v>87.630785231287064</v>
      </c>
    </row>
    <row r="128" spans="2:6" x14ac:dyDescent="0.25">
      <c r="B128" s="30">
        <v>126</v>
      </c>
      <c r="C128" s="31">
        <f>10^(2.039-0.00874*Dados!I128-0.00723*Dados!J128)</f>
        <v>53.107892032926763</v>
      </c>
      <c r="E128" s="30">
        <v>126</v>
      </c>
      <c r="F128" s="28">
        <f>10^(3.998-0.0101*Dados!I128-0.0152*Dados!J128-1.163*Dados!K128)</f>
        <v>52.798130561757773</v>
      </c>
    </row>
    <row r="129" spans="2:6" x14ac:dyDescent="0.25">
      <c r="B129" s="30">
        <v>127</v>
      </c>
      <c r="C129" s="31">
        <f>10^(2.039-0.00874*Dados!I129-0.00723*Dados!J129)</f>
        <v>57.719845634346861</v>
      </c>
      <c r="E129" s="30">
        <v>127</v>
      </c>
      <c r="F129" s="28">
        <f>10^(3.998-0.0101*Dados!I129-0.0152*Dados!J129-1.163*Dados!K129)</f>
        <v>70.754887700652091</v>
      </c>
    </row>
    <row r="130" spans="2:6" x14ac:dyDescent="0.25">
      <c r="B130" s="30">
        <v>128</v>
      </c>
      <c r="C130" s="31">
        <f>10^(2.039-0.00874*Dados!I130-0.00723*Dados!J130)</f>
        <v>64.577292286352971</v>
      </c>
      <c r="E130" s="30">
        <v>128</v>
      </c>
      <c r="F130" s="28">
        <f>10^(3.998-0.0101*Dados!I130-0.0152*Dados!J130-1.163*Dados!K130)</f>
        <v>66.309087652554908</v>
      </c>
    </row>
    <row r="131" spans="2:6" x14ac:dyDescent="0.25">
      <c r="B131" s="30">
        <v>129</v>
      </c>
      <c r="C131" s="31">
        <f>10^(2.039-0.00874*Dados!I131-0.00723*Dados!J131)</f>
        <v>48.240426734736815</v>
      </c>
      <c r="E131" s="30">
        <v>129</v>
      </c>
      <c r="F131" s="28">
        <f>10^(3.998-0.0101*Dados!I131-0.0152*Dados!J131-1.163*Dados!K131)</f>
        <v>76.610684618850385</v>
      </c>
    </row>
    <row r="132" spans="2:6" x14ac:dyDescent="0.25">
      <c r="B132" s="30">
        <v>130</v>
      </c>
      <c r="C132" s="31">
        <f>10^(2.039-0.00874*Dados!I132-0.00723*Dados!J132)</f>
        <v>57.266567368660134</v>
      </c>
      <c r="E132" s="30">
        <v>130</v>
      </c>
      <c r="F132" s="28">
        <f>10^(3.998-0.0101*Dados!I132-0.0152*Dados!J132-1.163*Dados!K132)</f>
        <v>84.539478215135063</v>
      </c>
    </row>
    <row r="133" spans="2:6" x14ac:dyDescent="0.25">
      <c r="B133" s="30">
        <v>131</v>
      </c>
      <c r="C133" s="31">
        <f>10^(2.039-0.00874*Dados!I133-0.00723*Dados!J133)</f>
        <v>53.773029971035733</v>
      </c>
      <c r="E133" s="30">
        <v>131</v>
      </c>
      <c r="F133" s="28">
        <f>10^(3.998-0.0101*Dados!I133-0.0152*Dados!J133-1.163*Dados!K133)</f>
        <v>58.258755720625814</v>
      </c>
    </row>
    <row r="134" spans="2:6" x14ac:dyDescent="0.25">
      <c r="B134" s="30">
        <v>132</v>
      </c>
      <c r="C134" s="31">
        <f>10^(2.039-0.00874*Dados!I134-0.00723*Dados!J134)</f>
        <v>50.707297818003887</v>
      </c>
      <c r="E134" s="30">
        <v>132</v>
      </c>
      <c r="F134" s="28">
        <f>10^(3.998-0.0101*Dados!I134-0.0152*Dados!J134-1.163*Dados!K134)</f>
        <v>34.244522437415071</v>
      </c>
    </row>
    <row r="135" spans="2:6" x14ac:dyDescent="0.25">
      <c r="B135" s="30">
        <v>133</v>
      </c>
      <c r="C135" s="31">
        <f>10^(2.039-0.00874*Dados!I135-0.00723*Dados!J135)</f>
        <v>59.52139699823185</v>
      </c>
      <c r="E135" s="30">
        <v>133</v>
      </c>
      <c r="F135" s="28">
        <f>10^(3.998-0.0101*Dados!I135-0.0152*Dados!J135-1.163*Dados!K135)</f>
        <v>134.08615521707938</v>
      </c>
    </row>
    <row r="136" spans="2:6" x14ac:dyDescent="0.25">
      <c r="B136" s="30">
        <v>134</v>
      </c>
      <c r="C136" s="31">
        <f>10^(2.039-0.00874*Dados!I136-0.00723*Dados!J136)</f>
        <v>54.4447211310098</v>
      </c>
      <c r="E136" s="30">
        <v>134</v>
      </c>
      <c r="F136" s="28">
        <f>10^(3.998-0.0101*Dados!I136-0.0152*Dados!J136-1.163*Dados!K136)</f>
        <v>118.2300197192265</v>
      </c>
    </row>
    <row r="137" spans="2:6" x14ac:dyDescent="0.25">
      <c r="B137" s="30">
        <v>135</v>
      </c>
      <c r="C137" s="31">
        <f>10^(2.039-0.00874*Dados!I137-0.00723*Dados!J137)</f>
        <v>61.733034296896015</v>
      </c>
      <c r="E137" s="30">
        <v>135</v>
      </c>
      <c r="F137" s="28">
        <f>10^(3.998-0.0101*Dados!I137-0.0152*Dados!J137-1.163*Dados!K137)</f>
        <v>104.5572872256203</v>
      </c>
    </row>
    <row r="138" spans="2:6" x14ac:dyDescent="0.25">
      <c r="B138" s="30">
        <v>136</v>
      </c>
      <c r="C138" s="31">
        <f>10^(2.039-0.00874*Dados!I138-0.00723*Dados!J138)</f>
        <v>46.754776321595962</v>
      </c>
      <c r="E138" s="30">
        <v>136</v>
      </c>
      <c r="F138" s="28">
        <f>10^(3.998-0.0101*Dados!I138-0.0152*Dados!J138-1.163*Dados!K138)</f>
        <v>33.909192366053766</v>
      </c>
    </row>
    <row r="139" spans="2:6" x14ac:dyDescent="0.25">
      <c r="B139" s="30">
        <v>137</v>
      </c>
      <c r="C139" s="31">
        <f>10^(2.039-0.00874*Dados!I139-0.00723*Dados!J139)</f>
        <v>56.812221226958961</v>
      </c>
      <c r="E139" s="30">
        <v>137</v>
      </c>
      <c r="F139" s="28">
        <f>10^(3.998-0.0101*Dados!I139-0.0152*Dados!J139-1.163*Dados!K139)</f>
        <v>53.381957620628405</v>
      </c>
    </row>
    <row r="140" spans="2:6" x14ac:dyDescent="0.25">
      <c r="B140" s="30">
        <v>138</v>
      </c>
      <c r="C140" s="31">
        <f>10^(2.039-0.00874*Dados!I140-0.00723*Dados!J140)</f>
        <v>66.639963221583187</v>
      </c>
      <c r="E140" s="30">
        <v>138</v>
      </c>
      <c r="F140" s="28">
        <f>10^(3.998-0.0101*Dados!I140-0.0152*Dados!J140-1.163*Dados!K140)</f>
        <v>68.852298433918506</v>
      </c>
    </row>
    <row r="141" spans="2:6" x14ac:dyDescent="0.25">
      <c r="B141" s="30">
        <v>139</v>
      </c>
      <c r="C141" s="31">
        <f>10^(2.039-0.00874*Dados!I141-0.00723*Dados!J141)</f>
        <v>59.099859787268699</v>
      </c>
      <c r="E141" s="30">
        <v>139</v>
      </c>
      <c r="F141" s="28">
        <f>10^(3.998-0.0101*Dados!I141-0.0152*Dados!J141-1.163*Dados!K141)</f>
        <v>45.580151345020191</v>
      </c>
    </row>
    <row r="142" spans="2:6" x14ac:dyDescent="0.25">
      <c r="B142" s="30">
        <v>140</v>
      </c>
      <c r="C142" s="31">
        <f>10^(2.039-0.00874*Dados!I142-0.00723*Dados!J142)</f>
        <v>51.461648764976424</v>
      </c>
      <c r="E142" s="30">
        <v>140</v>
      </c>
      <c r="F142" s="28">
        <f>10^(3.998-0.0101*Dados!I142-0.0152*Dados!J142-1.163*Dados!K142)</f>
        <v>34.765776889626324</v>
      </c>
    </row>
    <row r="143" spans="2:6" x14ac:dyDescent="0.25">
      <c r="B143" s="30">
        <v>141</v>
      </c>
      <c r="C143" s="31">
        <f>10^(2.039-0.00874*Dados!I143-0.00723*Dados!J143)</f>
        <v>50.913668362378061</v>
      </c>
      <c r="E143" s="30">
        <v>141</v>
      </c>
      <c r="F143" s="28">
        <f>10^(3.998-0.0101*Dados!I143-0.0152*Dados!J143-1.163*Dados!K143)</f>
        <v>63.976003500812311</v>
      </c>
    </row>
    <row r="144" spans="2:6" x14ac:dyDescent="0.25">
      <c r="B144" s="30">
        <v>142</v>
      </c>
      <c r="C144" s="31">
        <f>10^(2.039-0.00874*Dados!I144-0.00723*Dados!J144)</f>
        <v>53.642321239764065</v>
      </c>
      <c r="E144" s="30">
        <v>142</v>
      </c>
      <c r="F144" s="28">
        <f>10^(3.998-0.0101*Dados!I144-0.0152*Dados!J144-1.163*Dados!K144)</f>
        <v>117.63545764365372</v>
      </c>
    </row>
    <row r="145" spans="2:6" x14ac:dyDescent="0.25">
      <c r="B145" s="30">
        <v>143</v>
      </c>
      <c r="C145" s="31">
        <f>10^(2.039-0.00874*Dados!I145-0.00723*Dados!J145)</f>
        <v>62.993453635787702</v>
      </c>
      <c r="E145" s="30">
        <v>143</v>
      </c>
      <c r="F145" s="28">
        <f>10^(3.998-0.0101*Dados!I145-0.0152*Dados!J145-1.163*Dados!K145)</f>
        <v>53.542688351063632</v>
      </c>
    </row>
    <row r="146" spans="2:6" x14ac:dyDescent="0.25">
      <c r="B146" s="30">
        <v>144</v>
      </c>
      <c r="C146" s="31">
        <f>10^(2.039-0.00874*Dados!I146-0.00723*Dados!J146)</f>
        <v>58.593166704915745</v>
      </c>
      <c r="E146" s="30">
        <v>144</v>
      </c>
      <c r="F146" s="28">
        <f>10^(3.998-0.0101*Dados!I146-0.0152*Dados!J146-1.163*Dados!K146)</f>
        <v>43.338354068373114</v>
      </c>
    </row>
    <row r="147" spans="2:6" x14ac:dyDescent="0.25">
      <c r="B147" s="30">
        <v>145</v>
      </c>
      <c r="C147" s="31">
        <f>10^(2.039-0.00874*Dados!I147-0.00723*Dados!J147)</f>
        <v>59.445837196146854</v>
      </c>
      <c r="E147" s="30">
        <v>145</v>
      </c>
      <c r="F147" s="28">
        <f>10^(3.998-0.0101*Dados!I147-0.0152*Dados!J147-1.163*Dados!K147)</f>
        <v>51.363177312247551</v>
      </c>
    </row>
    <row r="148" spans="2:6" x14ac:dyDescent="0.25">
      <c r="B148" s="30">
        <v>146</v>
      </c>
      <c r="C148" s="31">
        <f>10^(2.039-0.00874*Dados!I148-0.00723*Dados!J148)</f>
        <v>55.928405883387548</v>
      </c>
      <c r="E148" s="30">
        <v>146</v>
      </c>
      <c r="F148" s="28">
        <f>10^(3.998-0.0101*Dados!I148-0.0152*Dados!J148-1.163*Dados!K148)</f>
        <v>62.753707987523427</v>
      </c>
    </row>
    <row r="149" spans="2:6" x14ac:dyDescent="0.25">
      <c r="B149" s="30">
        <v>147</v>
      </c>
      <c r="C149" s="31">
        <f>10^(2.039-0.00874*Dados!I149-0.00723*Dados!J149)</f>
        <v>45.465186082079491</v>
      </c>
      <c r="E149" s="30">
        <v>147</v>
      </c>
      <c r="F149" s="28">
        <f>10^(3.998-0.0101*Dados!I149-0.0152*Dados!J149-1.163*Dados!K149)</f>
        <v>63.04134780426952</v>
      </c>
    </row>
    <row r="150" spans="2:6" x14ac:dyDescent="0.25">
      <c r="B150" s="30">
        <v>148</v>
      </c>
      <c r="C150" s="31">
        <f>10^(2.039-0.00874*Dados!I150-0.00723*Dados!J150)</f>
        <v>68.743649666853173</v>
      </c>
      <c r="E150" s="30">
        <v>148</v>
      </c>
      <c r="F150" s="28">
        <f>10^(3.998-0.0101*Dados!I150-0.0152*Dados!J150-1.163*Dados!K150)</f>
        <v>82.827931993917957</v>
      </c>
    </row>
    <row r="151" spans="2:6" x14ac:dyDescent="0.25">
      <c r="B151" s="30">
        <v>149</v>
      </c>
      <c r="C151" s="31">
        <f>10^(2.039-0.00874*Dados!I151-0.00723*Dados!J151)</f>
        <v>64.500896963551909</v>
      </c>
      <c r="E151" s="30">
        <v>149</v>
      </c>
      <c r="F151" s="28">
        <f>10^(3.998-0.0101*Dados!I151-0.0152*Dados!J151-1.163*Dados!K151)</f>
        <v>79.782189875262674</v>
      </c>
    </row>
    <row r="152" spans="2:6" x14ac:dyDescent="0.25">
      <c r="B152" s="30">
        <v>150</v>
      </c>
      <c r="C152" s="31">
        <f>10^(2.039-0.00874*Dados!I152-0.00723*Dados!J152)</f>
        <v>67.677794465766453</v>
      </c>
      <c r="E152" s="30">
        <v>150</v>
      </c>
      <c r="F152" s="28">
        <f>10^(3.998-0.0101*Dados!I152-0.0152*Dados!J152-1.163*Dados!K152)</f>
        <v>42.910684107794751</v>
      </c>
    </row>
    <row r="153" spans="2:6" x14ac:dyDescent="0.25">
      <c r="B153" s="30">
        <v>151</v>
      </c>
      <c r="C153" s="31">
        <f>10^(2.039-0.00874*Dados!I153-0.00723*Dados!J153)</f>
        <v>58.165497011203463</v>
      </c>
      <c r="E153" s="30">
        <v>151</v>
      </c>
      <c r="F153" s="28">
        <f>10^(3.998-0.0101*Dados!I153-0.0152*Dados!J153-1.163*Dados!K153)</f>
        <v>62.698866865623486</v>
      </c>
    </row>
    <row r="154" spans="2:6" x14ac:dyDescent="0.25">
      <c r="B154" s="30">
        <v>152</v>
      </c>
      <c r="C154" s="31">
        <f>10^(2.039-0.00874*Dados!I154-0.00723*Dados!J154)</f>
        <v>62.60863559689092</v>
      </c>
      <c r="E154" s="30">
        <v>152</v>
      </c>
      <c r="F154" s="28">
        <f>10^(3.998-0.0101*Dados!I154-0.0152*Dados!J154-1.163*Dados!K154)</f>
        <v>42.695400093466439</v>
      </c>
    </row>
    <row r="155" spans="2:6" x14ac:dyDescent="0.25">
      <c r="B155" s="30">
        <v>153</v>
      </c>
      <c r="C155" s="31">
        <f>10^(2.039-0.00874*Dados!I155-0.00723*Dados!J155)</f>
        <v>63.551999145781025</v>
      </c>
      <c r="E155" s="30">
        <v>153</v>
      </c>
      <c r="F155" s="28">
        <f>10^(3.998-0.0101*Dados!I155-0.0152*Dados!J155-1.163*Dados!K155)</f>
        <v>62.235711744657536</v>
      </c>
    </row>
    <row r="156" spans="2:6" x14ac:dyDescent="0.25">
      <c r="B156" s="30">
        <v>154</v>
      </c>
      <c r="C156" s="31">
        <f>10^(2.039-0.00874*Dados!I156-0.00723*Dados!J156)</f>
        <v>57.024766055968982</v>
      </c>
      <c r="E156" s="30">
        <v>154</v>
      </c>
      <c r="F156" s="28">
        <f>10^(3.998-0.0101*Dados!I156-0.0152*Dados!J156-1.163*Dados!K156)</f>
        <v>42.856521654804048</v>
      </c>
    </row>
    <row r="157" spans="2:6" x14ac:dyDescent="0.25">
      <c r="B157" s="30">
        <v>155</v>
      </c>
      <c r="C157" s="31">
        <f>10^(2.039-0.00874*Dados!I157-0.00723*Dados!J157)</f>
        <v>55.393877969286223</v>
      </c>
      <c r="E157" s="30">
        <v>155</v>
      </c>
      <c r="F157" s="28">
        <f>10^(3.998-0.0101*Dados!I157-0.0152*Dados!J157-1.163*Dados!K157)</f>
        <v>47.872654707842308</v>
      </c>
    </row>
    <row r="158" spans="2:6" x14ac:dyDescent="0.25">
      <c r="B158" s="30">
        <v>156</v>
      </c>
      <c r="C158" s="31">
        <f>10^(2.039-0.00874*Dados!I158-0.00723*Dados!J158)</f>
        <v>64.82498010818874</v>
      </c>
      <c r="E158" s="30">
        <v>156</v>
      </c>
      <c r="F158" s="28">
        <f>10^(3.998-0.0101*Dados!I158-0.0152*Dados!J158-1.163*Dados!K158)</f>
        <v>86.216039638160012</v>
      </c>
    </row>
    <row r="159" spans="2:6" x14ac:dyDescent="0.25">
      <c r="B159" s="30">
        <v>157</v>
      </c>
      <c r="C159" s="31">
        <f>10^(2.039-0.00874*Dados!I159-0.00723*Dados!J159)</f>
        <v>61.908763025992123</v>
      </c>
      <c r="E159" s="30">
        <v>157</v>
      </c>
      <c r="F159" s="28">
        <f>10^(3.998-0.0101*Dados!I159-0.0152*Dados!J159-1.163*Dados!K159)</f>
        <v>62.433056019577052</v>
      </c>
    </row>
    <row r="160" spans="2:6" x14ac:dyDescent="0.25">
      <c r="B160" s="30">
        <v>158</v>
      </c>
      <c r="C160" s="31">
        <f>10^(2.039-0.00874*Dados!I160-0.00723*Dados!J160)</f>
        <v>68.143115624345839</v>
      </c>
      <c r="E160" s="30">
        <v>158</v>
      </c>
      <c r="F160" s="28">
        <f>10^(3.998-0.0101*Dados!I160-0.0152*Dados!J160-1.163*Dados!K160)</f>
        <v>83.867939082989764</v>
      </c>
    </row>
    <row r="161" spans="2:6" x14ac:dyDescent="0.25">
      <c r="B161" s="30">
        <v>159</v>
      </c>
      <c r="C161" s="31">
        <f>10^(2.039-0.00874*Dados!I161-0.00723*Dados!J161)</f>
        <v>53.70562129515438</v>
      </c>
      <c r="E161" s="30">
        <v>159</v>
      </c>
      <c r="F161" s="28">
        <f>10^(3.998-0.0101*Dados!I161-0.0152*Dados!J161-1.163*Dados!K161)</f>
        <v>54.33278772630166</v>
      </c>
    </row>
    <row r="162" spans="2:6" x14ac:dyDescent="0.25">
      <c r="B162" s="30">
        <v>160</v>
      </c>
      <c r="C162" s="31">
        <f>10^(2.039-0.00874*Dados!I162-0.00723*Dados!J162)</f>
        <v>63.07390435222387</v>
      </c>
      <c r="E162" s="30">
        <v>160</v>
      </c>
      <c r="F162" s="28">
        <f>10^(3.998-0.0101*Dados!I162-0.0152*Dados!J162-1.163*Dados!K162)</f>
        <v>108.22313813070396</v>
      </c>
    </row>
    <row r="163" spans="2:6" x14ac:dyDescent="0.25">
      <c r="B163" s="30">
        <v>161</v>
      </c>
      <c r="C163" s="31">
        <f>10^(2.039-0.00874*Dados!I163-0.00723*Dados!J163)</f>
        <v>54.611270403028499</v>
      </c>
      <c r="E163" s="30">
        <v>161</v>
      </c>
      <c r="F163" s="28">
        <f>10^(3.998-0.0101*Dados!I163-0.0152*Dados!J163-1.163*Dados!K163)</f>
        <v>87.185275488062587</v>
      </c>
    </row>
    <row r="164" spans="2:6" x14ac:dyDescent="0.25">
      <c r="B164" s="30">
        <v>162</v>
      </c>
      <c r="C164" s="31">
        <f>10^(2.039-0.00874*Dados!I164-0.00723*Dados!J164)</f>
        <v>67.591767094145894</v>
      </c>
      <c r="E164" s="30">
        <v>162</v>
      </c>
      <c r="F164" s="28">
        <f>10^(3.998-0.0101*Dados!I164-0.0152*Dados!J164-1.163*Dados!K164)</f>
        <v>65.434205384422285</v>
      </c>
    </row>
    <row r="165" spans="2:6" x14ac:dyDescent="0.25">
      <c r="B165" s="30">
        <v>163</v>
      </c>
      <c r="C165" s="31">
        <f>10^(2.039-0.00874*Dados!I165-0.00723*Dados!J165)</f>
        <v>57.960272796616245</v>
      </c>
      <c r="E165" s="30">
        <v>163</v>
      </c>
      <c r="F165" s="28">
        <f>10^(3.998-0.0101*Dados!I165-0.0152*Dados!J165-1.163*Dados!K165)</f>
        <v>81.939756809531872</v>
      </c>
    </row>
    <row r="166" spans="2:6" x14ac:dyDescent="0.25">
      <c r="B166" s="30">
        <v>164</v>
      </c>
      <c r="C166" s="31">
        <f>10^(2.039-0.00874*Dados!I166-0.00723*Dados!J166)</f>
        <v>57.683368313223539</v>
      </c>
      <c r="E166" s="30">
        <v>164</v>
      </c>
      <c r="F166" s="28">
        <f>10^(3.998-0.0101*Dados!I166-0.0152*Dados!J166-1.163*Dados!K166)</f>
        <v>74.352315431563127</v>
      </c>
    </row>
    <row r="167" spans="2:6" x14ac:dyDescent="0.25">
      <c r="B167" s="30">
        <v>165</v>
      </c>
      <c r="C167" s="31">
        <f>10^(2.039-0.00874*Dados!I167-0.00723*Dados!J167)</f>
        <v>62.467762359958407</v>
      </c>
      <c r="E167" s="30">
        <v>165</v>
      </c>
      <c r="F167" s="28">
        <f>10^(3.998-0.0101*Dados!I167-0.0152*Dados!J167-1.163*Dados!K167)</f>
        <v>103.08456253659656</v>
      </c>
    </row>
    <row r="168" spans="2:6" x14ac:dyDescent="0.25">
      <c r="B168" s="30">
        <v>166</v>
      </c>
      <c r="C168" s="31">
        <f>10^(2.039-0.00874*Dados!I168-0.00723*Dados!J168)</f>
        <v>70.981895239551079</v>
      </c>
      <c r="E168" s="30">
        <v>166</v>
      </c>
      <c r="F168" s="28">
        <f>10^(3.998-0.0101*Dados!I168-0.0152*Dados!J168-1.163*Dados!K168)</f>
        <v>189.31970636503704</v>
      </c>
    </row>
    <row r="169" spans="2:6" x14ac:dyDescent="0.25">
      <c r="B169" s="30">
        <v>167</v>
      </c>
      <c r="C169" s="31">
        <f>10^(2.039-0.00874*Dados!I169-0.00723*Dados!J169)</f>
        <v>54.245688565271408</v>
      </c>
      <c r="E169" s="30">
        <v>167</v>
      </c>
      <c r="F169" s="28">
        <f>10^(3.998-0.0101*Dados!I169-0.0152*Dados!J169-1.163*Dados!K169)</f>
        <v>49.618158052339517</v>
      </c>
    </row>
    <row r="170" spans="2:6" x14ac:dyDescent="0.25">
      <c r="B170" s="30">
        <v>168</v>
      </c>
      <c r="C170" s="31">
        <f>10^(2.039-0.00874*Dados!I170-0.00723*Dados!J170)</f>
        <v>66.589474404014027</v>
      </c>
      <c r="E170" s="30">
        <v>168</v>
      </c>
      <c r="F170" s="28">
        <f>10^(3.998-0.0101*Dados!I170-0.0152*Dados!J170-1.163*Dados!K170)</f>
        <v>135.77667772793595</v>
      </c>
    </row>
    <row r="171" spans="2:6" x14ac:dyDescent="0.25">
      <c r="B171" s="30">
        <v>169</v>
      </c>
      <c r="C171" s="31">
        <f>10^(2.039-0.00874*Dados!I171-0.00723*Dados!J171)</f>
        <v>66.073034472635044</v>
      </c>
      <c r="E171" s="30">
        <v>169</v>
      </c>
      <c r="F171" s="28">
        <f>10^(3.998-0.0101*Dados!I171-0.0152*Dados!J171-1.163*Dados!K171)</f>
        <v>161.81061452837767</v>
      </c>
    </row>
    <row r="172" spans="2:6" x14ac:dyDescent="0.25">
      <c r="B172" s="30">
        <v>170</v>
      </c>
      <c r="C172" s="31">
        <f>10^(2.039-0.00874*Dados!I172-0.00723*Dados!J172)</f>
        <v>50.844649595493777</v>
      </c>
      <c r="E172" s="30">
        <v>170</v>
      </c>
      <c r="F172" s="28">
        <f>10^(3.998-0.0101*Dados!I172-0.0152*Dados!J172-1.163*Dados!K172)</f>
        <v>75.249236274234107</v>
      </c>
    </row>
    <row r="173" spans="2:6" x14ac:dyDescent="0.25">
      <c r="B173" s="30">
        <v>171</v>
      </c>
      <c r="C173" s="31">
        <f>10^(2.039-0.00874*Dados!I173-0.00723*Dados!J173)</f>
        <v>69.123369258737242</v>
      </c>
      <c r="E173" s="30">
        <v>171</v>
      </c>
      <c r="F173" s="28">
        <f>10^(3.998-0.0101*Dados!I173-0.0152*Dados!J173-1.163*Dados!K173)</f>
        <v>127.99938243424573</v>
      </c>
    </row>
    <row r="174" spans="2:6" x14ac:dyDescent="0.25">
      <c r="B174" s="30">
        <v>172</v>
      </c>
      <c r="C174" s="31">
        <f>10^(2.039-0.00874*Dados!I174-0.00723*Dados!J174)</f>
        <v>37.399484721468141</v>
      </c>
      <c r="E174" s="30">
        <v>172</v>
      </c>
      <c r="F174" s="28">
        <f>10^(3.998-0.0101*Dados!I174-0.0152*Dados!J174-1.163*Dados!K174)</f>
        <v>46.711682739477965</v>
      </c>
    </row>
    <row r="175" spans="2:6" x14ac:dyDescent="0.25">
      <c r="B175" s="30">
        <v>173</v>
      </c>
      <c r="C175" s="31">
        <f>10^(2.039-0.00874*Dados!I175-0.00723*Dados!J175)</f>
        <v>39.239609069007798</v>
      </c>
      <c r="E175" s="30">
        <v>173</v>
      </c>
      <c r="F175" s="28">
        <f>10^(3.998-0.0101*Dados!I175-0.0152*Dados!J175-1.163*Dados!K175)</f>
        <v>52.092878398657966</v>
      </c>
    </row>
    <row r="176" spans="2:6" x14ac:dyDescent="0.25">
      <c r="B176" s="30">
        <v>174</v>
      </c>
      <c r="C176" s="31">
        <f>10^(2.039-0.00874*Dados!I176-0.00723*Dados!J176)</f>
        <v>39.793554354591841</v>
      </c>
      <c r="E176" s="30">
        <v>174</v>
      </c>
      <c r="F176" s="28">
        <f>10^(3.998-0.0101*Dados!I176-0.0152*Dados!J176-1.163*Dados!K176)</f>
        <v>25.726286938780941</v>
      </c>
    </row>
    <row r="177" spans="2:6" x14ac:dyDescent="0.25">
      <c r="B177" s="30">
        <v>175</v>
      </c>
      <c r="C177" s="31">
        <f>10^(2.039-0.00874*Dados!I177-0.00723*Dados!J177)</f>
        <v>40.35531968188122</v>
      </c>
      <c r="E177" s="30">
        <v>175</v>
      </c>
      <c r="F177" s="28">
        <f>10^(3.998-0.0101*Dados!I177-0.0152*Dados!J177-1.163*Dados!K177)</f>
        <v>64.752057665301137</v>
      </c>
    </row>
    <row r="178" spans="2:6" x14ac:dyDescent="0.25">
      <c r="B178" s="30">
        <v>176</v>
      </c>
      <c r="C178" s="31">
        <f>10^(2.039-0.00874*Dados!I178-0.00723*Dados!J178)</f>
        <v>49.54935345905853</v>
      </c>
      <c r="E178" s="30">
        <v>176</v>
      </c>
      <c r="F178" s="28">
        <f>10^(3.998-0.0101*Dados!I178-0.0152*Dados!J178-1.163*Dados!K178)</f>
        <v>38.214883326326671</v>
      </c>
    </row>
    <row r="179" spans="2:6" x14ac:dyDescent="0.25">
      <c r="B179" s="30">
        <v>177</v>
      </c>
      <c r="C179" s="31">
        <f>10^(2.039-0.00874*Dados!I179-0.00723*Dados!J179)</f>
        <v>45.811591414330898</v>
      </c>
      <c r="E179" s="30">
        <v>177</v>
      </c>
      <c r="F179" s="28">
        <f>10^(3.998-0.0101*Dados!I179-0.0152*Dados!J179-1.163*Dados!K179)</f>
        <v>46.709114063684837</v>
      </c>
    </row>
    <row r="180" spans="2:6" x14ac:dyDescent="0.25">
      <c r="B180" s="30">
        <v>178</v>
      </c>
      <c r="C180" s="31">
        <f>10^(2.039-0.00874*Dados!I180-0.00723*Dados!J180)</f>
        <v>50.937993305556397</v>
      </c>
      <c r="E180" s="30">
        <v>178</v>
      </c>
      <c r="F180" s="28">
        <f>10^(3.998-0.0101*Dados!I180-0.0152*Dados!J180-1.163*Dados!K180)</f>
        <v>81.009079277470377</v>
      </c>
    </row>
    <row r="181" spans="2:6" x14ac:dyDescent="0.25">
      <c r="B181" s="30">
        <v>179</v>
      </c>
      <c r="C181" s="31">
        <f>10^(2.039-0.00874*Dados!I181-0.00723*Dados!J181)</f>
        <v>52.058809466334232</v>
      </c>
      <c r="E181" s="30">
        <v>179</v>
      </c>
      <c r="F181" s="28">
        <f>10^(3.998-0.0101*Dados!I181-0.0152*Dados!J181-1.163*Dados!K181)</f>
        <v>76.527137697860795</v>
      </c>
    </row>
    <row r="182" spans="2:6" x14ac:dyDescent="0.25">
      <c r="B182" s="30">
        <v>180</v>
      </c>
      <c r="C182" s="31">
        <f>10^(2.039-0.00874*Dados!I182-0.00723*Dados!J182)</f>
        <v>56.010487414124938</v>
      </c>
      <c r="E182" s="30">
        <v>180</v>
      </c>
      <c r="F182" s="28">
        <f>10^(3.998-0.0101*Dados!I182-0.0152*Dados!J182-1.163*Dados!K182)</f>
        <v>95.452214686155656</v>
      </c>
    </row>
    <row r="183" spans="2:6" x14ac:dyDescent="0.25">
      <c r="B183" s="30">
        <v>181</v>
      </c>
      <c r="C183" s="31">
        <f>10^(2.039-0.00874*Dados!I183-0.00723*Dados!J183)</f>
        <v>67.215107672044354</v>
      </c>
      <c r="E183" s="30">
        <v>181</v>
      </c>
      <c r="F183" s="28">
        <f>10^(3.998-0.0101*Dados!I183-0.0152*Dados!J183-1.163*Dados!K183)</f>
        <v>231.90746941753315</v>
      </c>
    </row>
    <row r="184" spans="2:6" x14ac:dyDescent="0.25">
      <c r="B184" s="30">
        <v>182</v>
      </c>
      <c r="C184" s="31">
        <f>10^(2.039-0.00874*Dados!I184-0.00723*Dados!J184)</f>
        <v>59.542941468645822</v>
      </c>
      <c r="E184" s="30">
        <v>182</v>
      </c>
      <c r="F184" s="28">
        <f>10^(3.998-0.0101*Dados!I184-0.0152*Dados!J184-1.163*Dados!K184)</f>
        <v>58.438760540710014</v>
      </c>
    </row>
    <row r="185" spans="2:6" x14ac:dyDescent="0.25">
      <c r="B185" s="30">
        <v>183</v>
      </c>
      <c r="C185" s="31">
        <f>10^(2.039-0.00874*Dados!I185-0.00723*Dados!J185)</f>
        <v>57.110752868261763</v>
      </c>
      <c r="E185" s="30">
        <v>183</v>
      </c>
      <c r="F185" s="28">
        <f>10^(3.998-0.0101*Dados!I185-0.0152*Dados!J185-1.163*Dados!K185)</f>
        <v>44.829102042564394</v>
      </c>
    </row>
    <row r="186" spans="2:6" x14ac:dyDescent="0.25">
      <c r="B186" s="30">
        <v>184</v>
      </c>
      <c r="C186" s="31">
        <f>10^(2.039-0.00874*Dados!I186-0.00723*Dados!J186)</f>
        <v>32.378815119509838</v>
      </c>
      <c r="E186" s="30">
        <v>184</v>
      </c>
      <c r="F186" s="28">
        <f>10^(3.998-0.0101*Dados!I186-0.0152*Dados!J186-1.163*Dados!K186)</f>
        <v>54.102653258867043</v>
      </c>
    </row>
    <row r="187" spans="2:6" x14ac:dyDescent="0.25">
      <c r="B187" s="30">
        <v>185</v>
      </c>
      <c r="C187" s="31">
        <f>10^(2.039-0.00874*Dados!I187-0.00723*Dados!J187)</f>
        <v>56.809808676436667</v>
      </c>
      <c r="E187" s="30">
        <v>185</v>
      </c>
      <c r="F187" s="28">
        <f>10^(3.998-0.0101*Dados!I187-0.0152*Dados!J187-1.163*Dados!K187)</f>
        <v>60.95071482220029</v>
      </c>
    </row>
    <row r="188" spans="2:6" x14ac:dyDescent="0.25">
      <c r="B188" s="30">
        <v>186</v>
      </c>
      <c r="C188" s="31">
        <f>10^(2.039-0.00874*Dados!I188-0.00723*Dados!J188)</f>
        <v>50.179331586505405</v>
      </c>
      <c r="E188" s="30">
        <v>186</v>
      </c>
      <c r="F188" s="28">
        <f>10^(3.998-0.0101*Dados!I188-0.0152*Dados!J188-1.163*Dados!K188)</f>
        <v>92.861465387743507</v>
      </c>
    </row>
    <row r="189" spans="2:6" x14ac:dyDescent="0.25">
      <c r="B189" s="30">
        <v>187</v>
      </c>
      <c r="C189" s="31">
        <f>10^(2.039-0.00874*Dados!I189-0.00723*Dados!J189)</f>
        <v>48.767138351165848</v>
      </c>
      <c r="E189" s="30">
        <v>187</v>
      </c>
      <c r="F189" s="28">
        <f>10^(3.998-0.0101*Dados!I189-0.0152*Dados!J189-1.163*Dados!K189)</f>
        <v>65.266653207007451</v>
      </c>
    </row>
    <row r="190" spans="2:6" x14ac:dyDescent="0.25">
      <c r="B190" s="30">
        <v>188</v>
      </c>
      <c r="C190" s="31">
        <f>10^(2.039-0.00874*Dados!I190-0.00723*Dados!J190)</f>
        <v>57.140318744297517</v>
      </c>
      <c r="E190" s="30">
        <v>188</v>
      </c>
      <c r="F190" s="28">
        <f>10^(3.998-0.0101*Dados!I190-0.0152*Dados!J190-1.163*Dados!K190)</f>
        <v>63.62003649229964</v>
      </c>
    </row>
    <row r="191" spans="2:6" x14ac:dyDescent="0.25">
      <c r="B191" s="30">
        <v>189</v>
      </c>
      <c r="C191" s="31">
        <f>10^(2.039-0.00874*Dados!I191-0.00723*Dados!J191)</f>
        <v>45.252661328035273</v>
      </c>
      <c r="E191" s="30">
        <v>189</v>
      </c>
      <c r="F191" s="28">
        <f>10^(3.998-0.0101*Dados!I191-0.0152*Dados!J191-1.163*Dados!K191)</f>
        <v>28.684587566908313</v>
      </c>
    </row>
    <row r="192" spans="2:6" x14ac:dyDescent="0.25">
      <c r="B192" s="30">
        <v>190</v>
      </c>
      <c r="C192" s="31">
        <f>10^(2.039-0.00874*Dados!I192-0.00723*Dados!J192)</f>
        <v>54.532476221762728</v>
      </c>
      <c r="E192" s="30">
        <v>190</v>
      </c>
      <c r="F192" s="28">
        <f>10^(3.998-0.0101*Dados!I192-0.0152*Dados!J192-1.163*Dados!K192)</f>
        <v>73.592679707025354</v>
      </c>
    </row>
    <row r="193" spans="2:6" x14ac:dyDescent="0.25">
      <c r="B193" s="30">
        <v>191</v>
      </c>
      <c r="C193" s="31">
        <f>10^(2.039-0.00874*Dados!I193-0.00723*Dados!J193)</f>
        <v>54.172359515123034</v>
      </c>
      <c r="E193" s="30">
        <v>191</v>
      </c>
      <c r="F193" s="28">
        <f>10^(3.998-0.0101*Dados!I193-0.0152*Dados!J193-1.163*Dados!K193)</f>
        <v>36.953962400674811</v>
      </c>
    </row>
    <row r="194" spans="2:6" x14ac:dyDescent="0.25">
      <c r="B194" s="30">
        <v>192</v>
      </c>
      <c r="C194" s="31">
        <f>10^(2.039-0.00874*Dados!I194-0.00723*Dados!J194)</f>
        <v>59.186100239057104</v>
      </c>
      <c r="E194" s="30">
        <v>192</v>
      </c>
      <c r="F194" s="28">
        <f>10^(3.998-0.0101*Dados!I194-0.0152*Dados!J194-1.163*Dados!K194)</f>
        <v>107.57198368028435</v>
      </c>
    </row>
    <row r="195" spans="2:6" x14ac:dyDescent="0.25">
      <c r="B195" s="30">
        <v>193</v>
      </c>
      <c r="C195" s="31">
        <f>10^(2.039-0.00874*Dados!I195-0.00723*Dados!J195)</f>
        <v>53.358015886058134</v>
      </c>
      <c r="E195" s="30">
        <v>193</v>
      </c>
      <c r="F195" s="28">
        <f>10^(3.998-0.0101*Dados!I195-0.0152*Dados!J195-1.163*Dados!K195)</f>
        <v>60.529083727388318</v>
      </c>
    </row>
    <row r="196" spans="2:6" x14ac:dyDescent="0.25">
      <c r="B196" s="30">
        <v>194</v>
      </c>
      <c r="C196" s="31">
        <f>10^(2.039-0.00874*Dados!I196-0.00723*Dados!J196)</f>
        <v>62.712586346607573</v>
      </c>
      <c r="E196" s="30">
        <v>194</v>
      </c>
      <c r="F196" s="28">
        <f>10^(3.998-0.0101*Dados!I196-0.0152*Dados!J196-1.163*Dados!K196)</f>
        <v>90.32526443619993</v>
      </c>
    </row>
    <row r="197" spans="2:6" x14ac:dyDescent="0.25">
      <c r="B197" s="30">
        <v>195</v>
      </c>
      <c r="C197" s="31">
        <f>10^(2.039-0.00874*Dados!I197-0.00723*Dados!J197)</f>
        <v>65.313824057162165</v>
      </c>
      <c r="E197" s="30">
        <v>195</v>
      </c>
      <c r="F197" s="28">
        <f>10^(3.998-0.0101*Dados!I197-0.0152*Dados!J197-1.163*Dados!K197)</f>
        <v>76.919383541263016</v>
      </c>
    </row>
    <row r="198" spans="2:6" x14ac:dyDescent="0.25">
      <c r="B198" s="30">
        <v>196</v>
      </c>
      <c r="C198" s="31">
        <f>10^(2.039-0.00874*Dados!I198-0.00723*Dados!J198)</f>
        <v>60.451266672822896</v>
      </c>
      <c r="E198" s="30">
        <v>196</v>
      </c>
      <c r="F198" s="28">
        <f>10^(3.998-0.0101*Dados!I198-0.0152*Dados!J198-1.163*Dados!K198)</f>
        <v>147.10927371025605</v>
      </c>
    </row>
    <row r="199" spans="2:6" x14ac:dyDescent="0.25">
      <c r="B199" s="30">
        <v>197</v>
      </c>
      <c r="C199" s="31">
        <f>10^(2.039-0.00874*Dados!I199-0.00723*Dados!J199)</f>
        <v>56.099477800836567</v>
      </c>
      <c r="E199" s="30">
        <v>197</v>
      </c>
      <c r="F199" s="28">
        <f>10^(3.998-0.0101*Dados!I199-0.0152*Dados!J199-1.163*Dados!K199)</f>
        <v>103.32208360066282</v>
      </c>
    </row>
    <row r="200" spans="2:6" x14ac:dyDescent="0.25">
      <c r="B200" s="30">
        <v>198</v>
      </c>
      <c r="C200" s="31">
        <f>10^(2.039-0.00874*Dados!I200-0.00723*Dados!J200)</f>
        <v>62.55969633645946</v>
      </c>
      <c r="E200" s="30">
        <v>198</v>
      </c>
      <c r="F200" s="28">
        <f>10^(3.998-0.0101*Dados!I200-0.0152*Dados!J200-1.163*Dados!K200)</f>
        <v>64.255328181480436</v>
      </c>
    </row>
    <row r="201" spans="2:6" x14ac:dyDescent="0.25">
      <c r="B201" s="30">
        <v>199</v>
      </c>
      <c r="C201" s="31">
        <f>10^(2.039-0.00874*Dados!I201-0.00723*Dados!J201)</f>
        <v>58.655712148823788</v>
      </c>
      <c r="E201" s="30">
        <v>199</v>
      </c>
      <c r="F201" s="28">
        <f>10^(3.998-0.0101*Dados!I201-0.0152*Dados!J201-1.163*Dados!K201)</f>
        <v>61.935465625984442</v>
      </c>
    </row>
    <row r="202" spans="2:6" x14ac:dyDescent="0.25">
      <c r="B202" s="30">
        <v>200</v>
      </c>
      <c r="C202" s="31">
        <f>10^(2.039-0.00874*Dados!I202-0.00723*Dados!J202)</f>
        <v>54.786686110296316</v>
      </c>
      <c r="E202" s="30">
        <v>200</v>
      </c>
      <c r="F202" s="28">
        <f>10^(3.998-0.0101*Dados!I202-0.0152*Dados!J202-1.163*Dados!K202)</f>
        <v>62.547595376623178</v>
      </c>
    </row>
    <row r="203" spans="2:6" x14ac:dyDescent="0.25">
      <c r="B203" s="30">
        <v>201</v>
      </c>
      <c r="C203" s="31">
        <f>10^(2.039-0.00874*Dados!I203-0.00723*Dados!J203)</f>
        <v>55.153954774718805</v>
      </c>
      <c r="E203" s="30">
        <v>201</v>
      </c>
      <c r="F203" s="28">
        <f>10^(3.998-0.0101*Dados!I203-0.0152*Dados!J203-1.163*Dados!K203)</f>
        <v>69.733238106889274</v>
      </c>
    </row>
    <row r="204" spans="2:6" x14ac:dyDescent="0.25">
      <c r="B204" s="30">
        <v>202</v>
      </c>
      <c r="C204" s="31">
        <f>10^(2.039-0.00874*Dados!I204-0.00723*Dados!J204)</f>
        <v>48.662392649979616</v>
      </c>
      <c r="E204" s="30">
        <v>202</v>
      </c>
      <c r="F204" s="28">
        <f>10^(3.998-0.0101*Dados!I204-0.0152*Dados!J204-1.163*Dados!K204)</f>
        <v>148.39616620462849</v>
      </c>
    </row>
    <row r="205" spans="2:6" x14ac:dyDescent="0.25">
      <c r="B205" s="30">
        <v>203</v>
      </c>
      <c r="C205" s="31">
        <f>10^(2.039-0.00874*Dados!I205-0.00723*Dados!J205)</f>
        <v>62.913100008306451</v>
      </c>
      <c r="E205" s="30">
        <v>203</v>
      </c>
      <c r="F205" s="28">
        <f>10^(3.998-0.0101*Dados!I205-0.0152*Dados!J205-1.163*Dados!K205)</f>
        <v>74.922931174610994</v>
      </c>
    </row>
    <row r="206" spans="2:6" x14ac:dyDescent="0.25">
      <c r="B206" s="30">
        <v>204</v>
      </c>
      <c r="C206" s="31">
        <f>10^(2.039-0.00874*Dados!I206-0.00723*Dados!J206)</f>
        <v>94.575119489230829</v>
      </c>
      <c r="E206" s="30">
        <v>204</v>
      </c>
      <c r="F206" s="28">
        <f>10^(3.998-0.0101*Dados!I206-0.0152*Dados!J206-1.163*Dados!K206)</f>
        <v>180.9634649398013</v>
      </c>
    </row>
    <row r="207" spans="2:6" x14ac:dyDescent="0.25">
      <c r="B207" s="30">
        <v>205</v>
      </c>
      <c r="C207" s="31">
        <f>10^(2.039-0.00874*Dados!I207-0.00723*Dados!J207)</f>
        <v>56.207781647803188</v>
      </c>
      <c r="E207" s="30">
        <v>205</v>
      </c>
      <c r="F207" s="28">
        <f>10^(3.998-0.0101*Dados!I207-0.0152*Dados!J207-1.163*Dados!K207)</f>
        <v>74.439601052528275</v>
      </c>
    </row>
    <row r="208" spans="2:6" x14ac:dyDescent="0.25">
      <c r="B208" s="30">
        <v>206</v>
      </c>
      <c r="C208" s="31">
        <f>10^(2.039-0.00874*Dados!I208-0.00723*Dados!J208)</f>
        <v>40.523577493183922</v>
      </c>
      <c r="E208" s="30">
        <v>206</v>
      </c>
      <c r="F208" s="28">
        <f>10^(3.998-0.0101*Dados!I208-0.0152*Dados!J208-1.163*Dados!K208)</f>
        <v>39.854059270202079</v>
      </c>
    </row>
    <row r="209" spans="2:6" x14ac:dyDescent="0.25">
      <c r="B209" s="30">
        <v>207</v>
      </c>
      <c r="C209" s="31">
        <f>10^(2.039-0.00874*Dados!I209-0.00723*Dados!J209)</f>
        <v>63.859738920132735</v>
      </c>
      <c r="E209" s="30">
        <v>207</v>
      </c>
      <c r="F209" s="28">
        <f>10^(3.998-0.0101*Dados!I209-0.0152*Dados!J209-1.163*Dados!K209)</f>
        <v>53.206358911996873</v>
      </c>
    </row>
    <row r="210" spans="2:6" x14ac:dyDescent="0.25">
      <c r="B210" s="30">
        <v>208</v>
      </c>
      <c r="C210" s="31">
        <f>10^(2.039-0.00874*Dados!I210-0.00723*Dados!J210)</f>
        <v>51.483007820206382</v>
      </c>
      <c r="E210" s="30">
        <v>208</v>
      </c>
      <c r="F210" s="28">
        <f>10^(3.998-0.0101*Dados!I210-0.0152*Dados!J210-1.163*Dados!K210)</f>
        <v>79.947022221488936</v>
      </c>
    </row>
    <row r="211" spans="2:6" x14ac:dyDescent="0.25">
      <c r="B211" s="30">
        <v>209</v>
      </c>
      <c r="C211" s="31">
        <f>10^(2.039-0.00874*Dados!I211-0.00723*Dados!J211)</f>
        <v>65.880416882900576</v>
      </c>
      <c r="E211" s="30">
        <v>209</v>
      </c>
      <c r="F211" s="28">
        <f>10^(3.998-0.0101*Dados!I211-0.0152*Dados!J211-1.163*Dados!K211)</f>
        <v>143.88966212953289</v>
      </c>
    </row>
    <row r="212" spans="2:6" x14ac:dyDescent="0.25">
      <c r="B212" s="30">
        <v>210</v>
      </c>
      <c r="C212" s="31">
        <f>10^(2.039-0.00874*Dados!I212-0.00723*Dados!J212)</f>
        <v>51.265862928703008</v>
      </c>
      <c r="E212" s="30">
        <v>210</v>
      </c>
      <c r="F212" s="28">
        <f>10^(3.998-0.0101*Dados!I212-0.0152*Dados!J212-1.163*Dados!K212)</f>
        <v>38.301854612052047</v>
      </c>
    </row>
    <row r="213" spans="2:6" x14ac:dyDescent="0.25">
      <c r="B213" s="30">
        <v>211</v>
      </c>
      <c r="C213" s="31">
        <f>10^(2.039-0.00874*Dados!I213-0.00723*Dados!J213)</f>
        <v>61.819161770024984</v>
      </c>
      <c r="E213" s="30">
        <v>211</v>
      </c>
      <c r="F213" s="28">
        <f>10^(3.998-0.0101*Dados!I213-0.0152*Dados!J213-1.163*Dados!K213)</f>
        <v>71.66144437523576</v>
      </c>
    </row>
    <row r="214" spans="2:6" x14ac:dyDescent="0.25">
      <c r="B214" s="30">
        <v>212</v>
      </c>
      <c r="C214" s="31">
        <f>10^(2.039-0.00874*Dados!I214-0.00723*Dados!J214)</f>
        <v>47.936366487058443</v>
      </c>
      <c r="E214" s="30">
        <v>212</v>
      </c>
      <c r="F214" s="28">
        <f>10^(3.998-0.0101*Dados!I214-0.0152*Dados!J214-1.163*Dados!K214)</f>
        <v>84.654659102170768</v>
      </c>
    </row>
    <row r="215" spans="2:6" x14ac:dyDescent="0.25">
      <c r="B215" s="30">
        <v>213</v>
      </c>
      <c r="C215" s="31">
        <f>10^(2.039-0.00874*Dados!I215-0.00723*Dados!J215)</f>
        <v>46.53372353910845</v>
      </c>
      <c r="E215" s="30">
        <v>213</v>
      </c>
      <c r="F215" s="28">
        <f>10^(3.998-0.0101*Dados!I215-0.0152*Dados!J215-1.163*Dados!K215)</f>
        <v>33.20577672866898</v>
      </c>
    </row>
    <row r="216" spans="2:6" x14ac:dyDescent="0.25">
      <c r="B216" s="30">
        <v>214</v>
      </c>
      <c r="C216" s="31">
        <f>10^(2.039-0.00874*Dados!I216-0.00723*Dados!J216)</f>
        <v>41.165983787105368</v>
      </c>
      <c r="E216" s="30">
        <v>214</v>
      </c>
      <c r="F216" s="28">
        <f>10^(3.998-0.0101*Dados!I216-0.0152*Dados!J216-1.163*Dados!K216)</f>
        <v>87.514055102778457</v>
      </c>
    </row>
    <row r="217" spans="2:6" x14ac:dyDescent="0.25">
      <c r="B217" s="30">
        <v>215</v>
      </c>
      <c r="C217" s="31">
        <f>10^(2.039-0.00874*Dados!I217-0.00723*Dados!J217)</f>
        <v>76.158726269512442</v>
      </c>
      <c r="E217" s="30">
        <v>215</v>
      </c>
      <c r="F217" s="28">
        <f>10^(3.998-0.0101*Dados!I217-0.0152*Dados!J217-1.163*Dados!K217)</f>
        <v>327.97947566023208</v>
      </c>
    </row>
    <row r="218" spans="2:6" x14ac:dyDescent="0.25">
      <c r="B218" s="30">
        <v>216</v>
      </c>
      <c r="C218" s="31">
        <f>10^(2.039-0.00874*Dados!I218-0.00723*Dados!J218)</f>
        <v>55.402206114271188</v>
      </c>
      <c r="E218" s="30">
        <v>216</v>
      </c>
      <c r="F218" s="28">
        <f>10^(3.998-0.0101*Dados!I218-0.0152*Dados!J218-1.163*Dados!K218)</f>
        <v>79.154698675570472</v>
      </c>
    </row>
    <row r="219" spans="2:6" x14ac:dyDescent="0.25">
      <c r="B219" s="30">
        <v>217</v>
      </c>
      <c r="C219" s="31">
        <f>10^(2.039-0.00874*Dados!I219-0.00723*Dados!J219)</f>
        <v>65.60009958570663</v>
      </c>
      <c r="E219" s="30">
        <v>217</v>
      </c>
      <c r="F219" s="28">
        <f>10^(3.998-0.0101*Dados!I219-0.0152*Dados!J219-1.163*Dados!K219)</f>
        <v>69.408105253683189</v>
      </c>
    </row>
    <row r="220" spans="2:6" x14ac:dyDescent="0.25">
      <c r="B220" s="30">
        <v>218</v>
      </c>
      <c r="C220" s="31">
        <f>10^(2.039-0.00874*Dados!I220-0.00723*Dados!J220)</f>
        <v>64.824629807533029</v>
      </c>
      <c r="E220" s="30">
        <v>218</v>
      </c>
      <c r="F220" s="28">
        <f>10^(3.998-0.0101*Dados!I220-0.0152*Dados!J220-1.163*Dados!K220)</f>
        <v>93.91779897272545</v>
      </c>
    </row>
    <row r="221" spans="2:6" x14ac:dyDescent="0.25">
      <c r="B221" s="30">
        <v>219</v>
      </c>
      <c r="C221" s="31">
        <f>10^(2.039-0.00874*Dados!I221-0.00723*Dados!J221)</f>
        <v>59.478877707941756</v>
      </c>
      <c r="E221" s="30">
        <v>219</v>
      </c>
      <c r="F221" s="28">
        <f>10^(3.998-0.0101*Dados!I221-0.0152*Dados!J221-1.163*Dados!K221)</f>
        <v>59.678663141380667</v>
      </c>
    </row>
    <row r="222" spans="2:6" x14ac:dyDescent="0.25">
      <c r="B222" s="30">
        <v>220</v>
      </c>
      <c r="C222" s="31">
        <f>10^(2.039-0.00874*Dados!I222-0.00723*Dados!J222)</f>
        <v>50.747295094433973</v>
      </c>
      <c r="E222" s="30">
        <v>220</v>
      </c>
      <c r="F222" s="28">
        <f>10^(3.998-0.0101*Dados!I222-0.0152*Dados!J222-1.163*Dados!K222)</f>
        <v>53.883671922930802</v>
      </c>
    </row>
    <row r="223" spans="2:6" x14ac:dyDescent="0.25">
      <c r="B223" s="30">
        <v>221</v>
      </c>
      <c r="C223" s="31">
        <f>10^(2.039-0.00874*Dados!I223-0.00723*Dados!J223)</f>
        <v>59.430444522425638</v>
      </c>
      <c r="E223" s="30">
        <v>221</v>
      </c>
      <c r="F223" s="28">
        <f>10^(3.998-0.0101*Dados!I223-0.0152*Dados!J223-1.163*Dados!K223)</f>
        <v>54.232810885881911</v>
      </c>
    </row>
    <row r="224" spans="2:6" x14ac:dyDescent="0.25">
      <c r="B224" s="30">
        <v>222</v>
      </c>
      <c r="C224" s="31">
        <f>10^(2.039-0.00874*Dados!I224-0.00723*Dados!J224)</f>
        <v>50.952654984367697</v>
      </c>
      <c r="E224" s="30">
        <v>222</v>
      </c>
      <c r="F224" s="28">
        <f>10^(3.998-0.0101*Dados!I224-0.0152*Dados!J224-1.163*Dados!K224)</f>
        <v>142.09961073610799</v>
      </c>
    </row>
    <row r="225" spans="2:6" x14ac:dyDescent="0.25">
      <c r="B225" s="30">
        <v>223</v>
      </c>
      <c r="C225" s="31">
        <f>10^(2.039-0.00874*Dados!I225-0.00723*Dados!J225)</f>
        <v>45.525037478483249</v>
      </c>
      <c r="E225" s="30">
        <v>223</v>
      </c>
      <c r="F225" s="28">
        <f>10^(3.998-0.0101*Dados!I225-0.0152*Dados!J225-1.163*Dados!K225)</f>
        <v>43.475093893153918</v>
      </c>
    </row>
    <row r="226" spans="2:6" x14ac:dyDescent="0.25">
      <c r="B226" s="30">
        <v>224</v>
      </c>
      <c r="C226" s="31">
        <f>10^(2.039-0.00874*Dados!I226-0.00723*Dados!J226)</f>
        <v>57.911038357819201</v>
      </c>
      <c r="E226" s="30">
        <v>224</v>
      </c>
      <c r="F226" s="28">
        <f>10^(3.998-0.0101*Dados!I226-0.0152*Dados!J226-1.163*Dados!K226)</f>
        <v>81.137147415875404</v>
      </c>
    </row>
    <row r="227" spans="2:6" x14ac:dyDescent="0.25">
      <c r="B227" s="30">
        <v>225</v>
      </c>
      <c r="C227" s="31">
        <f>10^(2.039-0.00874*Dados!I227-0.00723*Dados!J227)</f>
        <v>64.871201045427227</v>
      </c>
      <c r="E227" s="30">
        <v>225</v>
      </c>
      <c r="F227" s="28">
        <f>10^(3.998-0.0101*Dados!I227-0.0152*Dados!J227-1.163*Dados!K227)</f>
        <v>126.29930516815038</v>
      </c>
    </row>
    <row r="228" spans="2:6" x14ac:dyDescent="0.25">
      <c r="B228" s="30">
        <v>226</v>
      </c>
      <c r="C228" s="31">
        <f>10^(2.039-0.00874*Dados!I228-0.00723*Dados!J228)</f>
        <v>51.223131502103016</v>
      </c>
      <c r="E228" s="30">
        <v>226</v>
      </c>
      <c r="F228" s="28">
        <f>10^(3.998-0.0101*Dados!I228-0.0152*Dados!J228-1.163*Dados!K228)</f>
        <v>121.47085196766167</v>
      </c>
    </row>
    <row r="229" spans="2:6" x14ac:dyDescent="0.25">
      <c r="B229" s="30">
        <v>227</v>
      </c>
      <c r="C229" s="31">
        <f>10^(2.039-0.00874*Dados!I229-0.00723*Dados!J229)</f>
        <v>43.981870822874178</v>
      </c>
      <c r="E229" s="30">
        <v>227</v>
      </c>
      <c r="F229" s="28">
        <f>10^(3.998-0.0101*Dados!I229-0.0152*Dados!J229-1.163*Dados!K229)</f>
        <v>43.595197254335638</v>
      </c>
    </row>
    <row r="230" spans="2:6" x14ac:dyDescent="0.25">
      <c r="B230" s="30">
        <v>228</v>
      </c>
      <c r="C230" s="31">
        <f>10^(2.039-0.00874*Dados!I230-0.00723*Dados!J230)</f>
        <v>57.459248108276554</v>
      </c>
      <c r="E230" s="30">
        <v>228</v>
      </c>
      <c r="F230" s="28">
        <f>10^(3.998-0.0101*Dados!I230-0.0152*Dados!J230-1.163*Dados!K230)</f>
        <v>67.703729311165119</v>
      </c>
    </row>
    <row r="231" spans="2:6" x14ac:dyDescent="0.25">
      <c r="B231" s="30">
        <v>229</v>
      </c>
      <c r="C231" s="31">
        <f>10^(2.039-0.00874*Dados!I231-0.00723*Dados!J231)</f>
        <v>76.863621949584441</v>
      </c>
      <c r="E231" s="30">
        <v>229</v>
      </c>
      <c r="F231" s="28">
        <f>10^(3.998-0.0101*Dados!I231-0.0152*Dados!J231-1.163*Dados!K231)</f>
        <v>111.56684762339256</v>
      </c>
    </row>
    <row r="232" spans="2:6" x14ac:dyDescent="0.25">
      <c r="B232" s="30">
        <v>230</v>
      </c>
      <c r="C232" s="31">
        <f>10^(2.039-0.00874*Dados!I232-0.00723*Dados!J232)</f>
        <v>49.525284457430267</v>
      </c>
      <c r="E232" s="30">
        <v>230</v>
      </c>
      <c r="F232" s="28">
        <f>10^(3.998-0.0101*Dados!I232-0.0152*Dados!J232-1.163*Dados!K232)</f>
        <v>48.084936028662995</v>
      </c>
    </row>
    <row r="233" spans="2:6" x14ac:dyDescent="0.25">
      <c r="B233" s="30">
        <v>231</v>
      </c>
      <c r="C233" s="31">
        <f>10^(2.039-0.00874*Dados!I233-0.00723*Dados!J233)</f>
        <v>53.193543919307182</v>
      </c>
      <c r="E233" s="30">
        <v>231</v>
      </c>
      <c r="F233" s="28">
        <f>10^(3.998-0.0101*Dados!I233-0.0152*Dados!J233-1.163*Dados!K233)</f>
        <v>84.918353580901083</v>
      </c>
    </row>
    <row r="234" spans="2:6" x14ac:dyDescent="0.25">
      <c r="B234" s="30">
        <v>232</v>
      </c>
      <c r="C234" s="31">
        <f>10^(2.039-0.00874*Dados!I234-0.00723*Dados!J234)</f>
        <v>62.438754590989099</v>
      </c>
      <c r="E234" s="30">
        <v>232</v>
      </c>
      <c r="F234" s="28">
        <f>10^(3.998-0.0101*Dados!I234-0.0152*Dados!J234-1.163*Dados!K234)</f>
        <v>65.970313614298391</v>
      </c>
    </row>
    <row r="235" spans="2:6" x14ac:dyDescent="0.25">
      <c r="B235" s="30">
        <v>233</v>
      </c>
      <c r="C235" s="31">
        <f>10^(2.039-0.00874*Dados!I235-0.00723*Dados!J235)</f>
        <v>72.61395615906504</v>
      </c>
      <c r="E235" s="30">
        <v>233</v>
      </c>
      <c r="F235" s="28">
        <f>10^(3.998-0.0101*Dados!I235-0.0152*Dados!J235-1.163*Dados!K235)</f>
        <v>121.56789453971291</v>
      </c>
    </row>
    <row r="236" spans="2:6" x14ac:dyDescent="0.25">
      <c r="B236" s="30">
        <v>234</v>
      </c>
      <c r="C236" s="31">
        <f>10^(2.039-0.00874*Dados!I236-0.00723*Dados!J236)</f>
        <v>59.882652892147476</v>
      </c>
      <c r="E236" s="30">
        <v>234</v>
      </c>
      <c r="F236" s="28">
        <f>10^(3.998-0.0101*Dados!I236-0.0152*Dados!J236-1.163*Dados!K236)</f>
        <v>102.33474050340888</v>
      </c>
    </row>
    <row r="237" spans="2:6" x14ac:dyDescent="0.25">
      <c r="B237" s="30">
        <v>235</v>
      </c>
      <c r="C237" s="31">
        <f>10^(2.039-0.00874*Dados!I237-0.00723*Dados!J237)</f>
        <v>51.29493675327619</v>
      </c>
      <c r="E237" s="30">
        <v>235</v>
      </c>
      <c r="F237" s="28">
        <f>10^(3.998-0.0101*Dados!I237-0.0152*Dados!J237-1.163*Dados!K237)</f>
        <v>48.005939375509683</v>
      </c>
    </row>
    <row r="238" spans="2:6" x14ac:dyDescent="0.25">
      <c r="B238" s="30">
        <v>236</v>
      </c>
      <c r="C238" s="31">
        <f>10^(2.039-0.00874*Dados!I238-0.00723*Dados!J238)</f>
        <v>52.456247368033289</v>
      </c>
      <c r="E238" s="30">
        <v>236</v>
      </c>
      <c r="F238" s="28">
        <f>10^(3.998-0.0101*Dados!I238-0.0152*Dados!J238-1.163*Dados!K238)</f>
        <v>46.231536401015319</v>
      </c>
    </row>
    <row r="239" spans="2:6" x14ac:dyDescent="0.25">
      <c r="B239" s="30">
        <v>237</v>
      </c>
      <c r="C239" s="31">
        <f>10^(2.039-0.00874*Dados!I239-0.00723*Dados!J239)</f>
        <v>44.963910221958493</v>
      </c>
      <c r="E239" s="30">
        <v>237</v>
      </c>
      <c r="F239" s="28">
        <f>10^(3.998-0.0101*Dados!I239-0.0152*Dados!J239-1.163*Dados!K239)</f>
        <v>110.97847750080399</v>
      </c>
    </row>
    <row r="240" spans="2:6" x14ac:dyDescent="0.25">
      <c r="B240" s="30">
        <v>238</v>
      </c>
      <c r="C240" s="31">
        <f>10^(2.039-0.00874*Dados!I240-0.00723*Dados!J240)</f>
        <v>53.909019384527852</v>
      </c>
      <c r="E240" s="30">
        <v>238</v>
      </c>
      <c r="F240" s="28">
        <f>10^(3.998-0.0101*Dados!I240-0.0152*Dados!J240-1.163*Dados!K240)</f>
        <v>64.591847343050489</v>
      </c>
    </row>
    <row r="241" spans="2:6" x14ac:dyDescent="0.25">
      <c r="B241" s="30">
        <v>239</v>
      </c>
      <c r="C241" s="31">
        <f>10^(2.039-0.00874*Dados!I241-0.00723*Dados!J241)</f>
        <v>54.634141777310326</v>
      </c>
      <c r="E241" s="30">
        <v>239</v>
      </c>
      <c r="F241" s="28">
        <f>10^(3.998-0.0101*Dados!I241-0.0152*Dados!J241-1.163*Dados!K241)</f>
        <v>129.58475061338899</v>
      </c>
    </row>
    <row r="242" spans="2:6" x14ac:dyDescent="0.25">
      <c r="B242" s="30">
        <v>240</v>
      </c>
      <c r="C242" s="31">
        <f>10^(2.039-0.00874*Dados!I242-0.00723*Dados!J242)</f>
        <v>55.369017686118859</v>
      </c>
      <c r="E242" s="30">
        <v>240</v>
      </c>
      <c r="F242" s="28">
        <f>10^(3.998-0.0101*Dados!I242-0.0152*Dados!J242-1.163*Dados!K242)</f>
        <v>92.8900710026968</v>
      </c>
    </row>
    <row r="243" spans="2:6" x14ac:dyDescent="0.25">
      <c r="B243" s="30">
        <v>241</v>
      </c>
      <c r="C243" s="31">
        <f>10^(2.039-0.00874*Dados!I243-0.00723*Dados!J243)</f>
        <v>45.122745033491547</v>
      </c>
      <c r="E243" s="30">
        <v>241</v>
      </c>
      <c r="F243" s="28">
        <f>10^(3.998-0.0101*Dados!I243-0.0152*Dados!J243-1.163*Dados!K243)</f>
        <v>32.404497220216783</v>
      </c>
    </row>
    <row r="244" spans="2:6" x14ac:dyDescent="0.25">
      <c r="B244" s="30">
        <v>242</v>
      </c>
      <c r="C244" s="31">
        <f>10^(2.039-0.00874*Dados!I244-0.00723*Dados!J244)</f>
        <v>61.500958637684803</v>
      </c>
      <c r="E244" s="30">
        <v>242</v>
      </c>
      <c r="F244" s="28">
        <f>10^(3.998-0.0101*Dados!I244-0.0152*Dados!J244-1.163*Dados!K244)</f>
        <v>76.846911878792099</v>
      </c>
    </row>
    <row r="245" spans="2:6" x14ac:dyDescent="0.25">
      <c r="B245" s="30">
        <v>243</v>
      </c>
      <c r="C245" s="31">
        <f>10^(2.039-0.00874*Dados!I245-0.00723*Dados!J245)</f>
        <v>80.788548490941523</v>
      </c>
      <c r="E245" s="30">
        <v>243</v>
      </c>
      <c r="F245" s="28">
        <f>10^(3.998-0.0101*Dados!I245-0.0152*Dados!J245-1.163*Dados!K245)</f>
        <v>141.06824232126192</v>
      </c>
    </row>
    <row r="246" spans="2:6" x14ac:dyDescent="0.25">
      <c r="B246" s="30">
        <v>244</v>
      </c>
      <c r="C246" s="31">
        <f>10^(2.039-0.00874*Dados!I246-0.00723*Dados!J246)</f>
        <v>67.205364153252276</v>
      </c>
      <c r="E246" s="30">
        <v>244</v>
      </c>
      <c r="F246" s="28">
        <f>10^(3.998-0.0101*Dados!I246-0.0152*Dados!J246-1.163*Dados!K246)</f>
        <v>142.69124146534398</v>
      </c>
    </row>
    <row r="247" spans="2:6" x14ac:dyDescent="0.25">
      <c r="B247" s="30">
        <v>245</v>
      </c>
      <c r="C247" s="31">
        <f>10^(2.039-0.00874*Dados!I247-0.00723*Dados!J247)</f>
        <v>51.184085947381469</v>
      </c>
      <c r="E247" s="30">
        <v>245</v>
      </c>
      <c r="F247" s="28">
        <f>10^(3.998-0.0101*Dados!I247-0.0152*Dados!J247-1.163*Dados!K247)</f>
        <v>80.581248541236434</v>
      </c>
    </row>
    <row r="248" spans="2:6" x14ac:dyDescent="0.25">
      <c r="B248" s="30">
        <v>246</v>
      </c>
      <c r="C248" s="31">
        <f>10^(2.039-0.00874*Dados!I248-0.00723*Dados!J248)</f>
        <v>54.484879156424995</v>
      </c>
      <c r="E248" s="30">
        <v>246</v>
      </c>
      <c r="F248" s="28">
        <f>10^(3.998-0.0101*Dados!I248-0.0152*Dados!J248-1.163*Dados!K248)</f>
        <v>93.232664436014915</v>
      </c>
    </row>
    <row r="249" spans="2:6" x14ac:dyDescent="0.25">
      <c r="B249" s="30">
        <v>247</v>
      </c>
      <c r="C249" s="31">
        <f>10^(2.039-0.00874*Dados!I249-0.00723*Dados!J249)</f>
        <v>67.370286151814625</v>
      </c>
      <c r="E249" s="30">
        <v>247</v>
      </c>
      <c r="F249" s="28">
        <f>10^(3.998-0.0101*Dados!I249-0.0152*Dados!J249-1.163*Dados!K249)</f>
        <v>71.78101069697739</v>
      </c>
    </row>
    <row r="250" spans="2:6" x14ac:dyDescent="0.25">
      <c r="B250" s="30">
        <v>248</v>
      </c>
      <c r="C250" s="31">
        <f>10^(2.039-0.00874*Dados!I250-0.00723*Dados!J250)</f>
        <v>68.89980064714824</v>
      </c>
      <c r="E250" s="30">
        <v>248</v>
      </c>
      <c r="F250" s="28">
        <f>10^(3.998-0.0101*Dados!I250-0.0152*Dados!J250-1.163*Dados!K250)</f>
        <v>103.81670395278907</v>
      </c>
    </row>
    <row r="251" spans="2:6" x14ac:dyDescent="0.25">
      <c r="B251" s="30">
        <v>249</v>
      </c>
      <c r="C251" s="31">
        <f>10^(2.039-0.00874*Dados!I251-0.00723*Dados!J251)</f>
        <v>69.934347200987176</v>
      </c>
      <c r="E251" s="30">
        <v>249</v>
      </c>
      <c r="F251" s="28">
        <f>10^(3.998-0.0101*Dados!I251-0.0152*Dados!J251-1.163*Dados!K251)</f>
        <v>102.4958473584542</v>
      </c>
    </row>
    <row r="252" spans="2:6" x14ac:dyDescent="0.25">
      <c r="B252" s="30">
        <v>250</v>
      </c>
      <c r="C252" s="31">
        <f>10^(2.039-0.00874*Dados!I252-0.00723*Dados!J252)</f>
        <v>65.488385731131942</v>
      </c>
      <c r="E252" s="30">
        <v>250</v>
      </c>
      <c r="F252" s="28">
        <f>10^(3.998-0.0101*Dados!I252-0.0152*Dados!J252-1.163*Dados!K252)</f>
        <v>66.091320252471021</v>
      </c>
    </row>
    <row r="253" spans="2:6" x14ac:dyDescent="0.25">
      <c r="B253" s="30">
        <v>251</v>
      </c>
      <c r="C253" s="31">
        <f>10^(2.039-0.00874*Dados!I253-0.00723*Dados!J253)</f>
        <v>61.201523324271051</v>
      </c>
      <c r="E253" s="30">
        <v>251</v>
      </c>
      <c r="F253" s="28">
        <f>10^(3.998-0.0101*Dados!I253-0.0152*Dados!J253-1.163*Dados!K253)</f>
        <v>68.372208870317081</v>
      </c>
    </row>
    <row r="254" spans="2:6" x14ac:dyDescent="0.25">
      <c r="B254" s="30">
        <v>252</v>
      </c>
      <c r="C254" s="31">
        <f>10^(2.039-0.00874*Dados!I254-0.00723*Dados!J254)</f>
        <v>56.526691282591472</v>
      </c>
      <c r="E254" s="30">
        <v>252</v>
      </c>
      <c r="F254" s="28">
        <f>10^(3.998-0.0101*Dados!I254-0.0152*Dados!J254-1.163*Dados!K254)</f>
        <v>42.902913775966979</v>
      </c>
    </row>
    <row r="255" spans="2:6" x14ac:dyDescent="0.25">
      <c r="B255" s="30">
        <v>253</v>
      </c>
      <c r="C255" s="31">
        <f>10^(2.039-0.00874*Dados!I255-0.00723*Dados!J255)</f>
        <v>62.440962945620598</v>
      </c>
      <c r="E255" s="30">
        <v>253</v>
      </c>
      <c r="F255" s="28">
        <f>10^(3.998-0.0101*Dados!I255-0.0152*Dados!J255-1.163*Dados!K255)</f>
        <v>63.014843468230481</v>
      </c>
    </row>
    <row r="256" spans="2:6" x14ac:dyDescent="0.25">
      <c r="B256" s="30">
        <v>254</v>
      </c>
      <c r="C256" s="31">
        <f>10^(2.039-0.00874*Dados!I256-0.00723*Dados!J256)</f>
        <v>41.266186695085807</v>
      </c>
      <c r="E256" s="30">
        <v>254</v>
      </c>
      <c r="F256" s="28">
        <f>10^(3.998-0.0101*Dados!I256-0.0152*Dados!J256-1.163*Dados!K256)</f>
        <v>52.457205493344205</v>
      </c>
    </row>
    <row r="257" spans="2:6" x14ac:dyDescent="0.25">
      <c r="B257" s="30">
        <v>255</v>
      </c>
      <c r="C257" s="31">
        <f>10^(2.039-0.00874*Dados!I257-0.00723*Dados!J257)</f>
        <v>62.33562410546854</v>
      </c>
      <c r="E257" s="30">
        <v>255</v>
      </c>
      <c r="F257" s="28">
        <f>10^(3.998-0.0101*Dados!I257-0.0152*Dados!J257-1.163*Dados!K257)</f>
        <v>82.189772042973161</v>
      </c>
    </row>
    <row r="258" spans="2:6" x14ac:dyDescent="0.25">
      <c r="B258" s="30">
        <v>256</v>
      </c>
      <c r="C258" s="31">
        <f>10^(2.039-0.00874*Dados!I258-0.00723*Dados!J258)</f>
        <v>56.676391554317043</v>
      </c>
      <c r="E258" s="30">
        <v>256</v>
      </c>
      <c r="F258" s="28">
        <f>10^(3.998-0.0101*Dados!I258-0.0152*Dados!J258-1.163*Dados!K258)</f>
        <v>57.98627060212813</v>
      </c>
    </row>
    <row r="259" spans="2:6" x14ac:dyDescent="0.25">
      <c r="B259" s="30">
        <v>257</v>
      </c>
      <c r="C259" s="31">
        <f>10^(2.039-0.00874*Dados!I259-0.00723*Dados!J259)</f>
        <v>64.685442289163575</v>
      </c>
      <c r="E259" s="30">
        <v>257</v>
      </c>
      <c r="F259" s="28">
        <f>10^(3.998-0.0101*Dados!I259-0.0152*Dados!J259-1.163*Dados!K259)</f>
        <v>97.332983657099007</v>
      </c>
    </row>
    <row r="260" spans="2:6" x14ac:dyDescent="0.25">
      <c r="B260" s="30">
        <v>258</v>
      </c>
      <c r="C260" s="31">
        <f>10^(2.039-0.00874*Dados!I260-0.00723*Dados!J260)</f>
        <v>40.430668789313799</v>
      </c>
      <c r="E260" s="30">
        <v>258</v>
      </c>
      <c r="F260" s="28">
        <f>10^(3.998-0.0101*Dados!I260-0.0152*Dados!J260-1.163*Dados!K260)</f>
        <v>85.6858839840651</v>
      </c>
    </row>
    <row r="261" spans="2:6" x14ac:dyDescent="0.25">
      <c r="B261" s="30">
        <v>259</v>
      </c>
      <c r="C261" s="31">
        <f>10^(2.039-0.00874*Dados!I261-0.00723*Dados!J261)</f>
        <v>59.342072797830895</v>
      </c>
      <c r="E261" s="30">
        <v>259</v>
      </c>
      <c r="F261" s="28">
        <f>10^(3.998-0.0101*Dados!I261-0.0152*Dados!J261-1.163*Dados!K261)</f>
        <v>71.458667076951869</v>
      </c>
    </row>
    <row r="262" spans="2:6" x14ac:dyDescent="0.25">
      <c r="B262" s="30">
        <v>260</v>
      </c>
      <c r="C262" s="31">
        <f>10^(2.039-0.00874*Dados!I262-0.00723*Dados!J262)</f>
        <v>39.246321029574311</v>
      </c>
      <c r="E262" s="30">
        <v>260</v>
      </c>
      <c r="F262" s="28">
        <f>10^(3.998-0.0101*Dados!I262-0.0152*Dados!J262-1.163*Dados!K262)</f>
        <v>56.888459700991341</v>
      </c>
    </row>
    <row r="263" spans="2:6" x14ac:dyDescent="0.25">
      <c r="B263" s="30">
        <v>261</v>
      </c>
      <c r="C263" s="31">
        <f>10^(2.039-0.00874*Dados!I263-0.00723*Dados!J263)</f>
        <v>46.617256605974333</v>
      </c>
      <c r="E263" s="30">
        <v>261</v>
      </c>
      <c r="F263" s="28">
        <f>10^(3.998-0.0101*Dados!I263-0.0152*Dados!J263-1.163*Dados!K263)</f>
        <v>101.80604703436346</v>
      </c>
    </row>
    <row r="264" spans="2:6" x14ac:dyDescent="0.25">
      <c r="B264" s="30">
        <v>262</v>
      </c>
      <c r="C264" s="31">
        <f>10^(2.039-0.00874*Dados!I264-0.00723*Dados!J264)</f>
        <v>44.65055334031539</v>
      </c>
      <c r="E264" s="30">
        <v>262</v>
      </c>
      <c r="F264" s="28">
        <f>10^(3.998-0.0101*Dados!I264-0.0152*Dados!J264-1.163*Dados!K264)</f>
        <v>53.631784106968652</v>
      </c>
    </row>
    <row r="265" spans="2:6" x14ac:dyDescent="0.25">
      <c r="B265" s="30">
        <v>263</v>
      </c>
      <c r="C265" s="31">
        <f>10^(2.039-0.00874*Dados!I265-0.00723*Dados!J265)</f>
        <v>52.092540574263445</v>
      </c>
      <c r="E265" s="30">
        <v>263</v>
      </c>
      <c r="F265" s="28">
        <f>10^(3.998-0.0101*Dados!I265-0.0152*Dados!J265-1.163*Dados!K265)</f>
        <v>36.682282746610944</v>
      </c>
    </row>
    <row r="266" spans="2:6" x14ac:dyDescent="0.25">
      <c r="B266" s="30">
        <v>264</v>
      </c>
      <c r="C266" s="31">
        <f>10^(2.039-0.00874*Dados!I266-0.00723*Dados!J266)</f>
        <v>60.345534546604007</v>
      </c>
      <c r="E266" s="30">
        <v>264</v>
      </c>
      <c r="F266" s="28">
        <f>10^(3.998-0.0101*Dados!I266-0.0152*Dados!J266-1.163*Dados!K266)</f>
        <v>74.002517894797379</v>
      </c>
    </row>
    <row r="267" spans="2:6" x14ac:dyDescent="0.25">
      <c r="B267" s="30">
        <v>265</v>
      </c>
      <c r="C267" s="31">
        <f>10^(2.039-0.00874*Dados!I267-0.00723*Dados!J267)</f>
        <v>58.229617681338077</v>
      </c>
      <c r="E267" s="30">
        <v>265</v>
      </c>
      <c r="F267" s="28">
        <f>10^(3.998-0.0101*Dados!I267-0.0152*Dados!J267-1.163*Dados!K267)</f>
        <v>76.648231151215228</v>
      </c>
    </row>
    <row r="268" spans="2:6" x14ac:dyDescent="0.25">
      <c r="B268" s="30">
        <v>266</v>
      </c>
      <c r="C268" s="31">
        <f>10^(2.039-0.00874*Dados!I268-0.00723*Dados!J268)</f>
        <v>68.49134141070904</v>
      </c>
      <c r="E268" s="30">
        <v>266</v>
      </c>
      <c r="F268" s="28">
        <f>10^(3.998-0.0101*Dados!I268-0.0152*Dados!J268-1.163*Dados!K268)</f>
        <v>99.677020833924672</v>
      </c>
    </row>
    <row r="269" spans="2:6" x14ac:dyDescent="0.25">
      <c r="B269" s="30">
        <v>267</v>
      </c>
      <c r="C269" s="31">
        <f>10^(2.039-0.00874*Dados!I269-0.00723*Dados!J269)</f>
        <v>42.981468091081183</v>
      </c>
      <c r="E269" s="30">
        <v>267</v>
      </c>
      <c r="F269" s="28">
        <f>10^(3.998-0.0101*Dados!I269-0.0152*Dados!J269-1.163*Dados!K269)</f>
        <v>105.20393817071739</v>
      </c>
    </row>
    <row r="270" spans="2:6" x14ac:dyDescent="0.25">
      <c r="B270" s="30">
        <v>268</v>
      </c>
      <c r="C270" s="31">
        <f>10^(2.039-0.00874*Dados!I270-0.00723*Dados!J270)</f>
        <v>52.804019001651916</v>
      </c>
      <c r="E270" s="30">
        <v>268</v>
      </c>
      <c r="F270" s="28">
        <f>10^(3.998-0.0101*Dados!I270-0.0152*Dados!J270-1.163*Dados!K270)</f>
        <v>70.470923726906037</v>
      </c>
    </row>
    <row r="271" spans="2:6" x14ac:dyDescent="0.25">
      <c r="B271" s="30">
        <v>269</v>
      </c>
      <c r="C271" s="31">
        <f>10^(2.039-0.00874*Dados!I271-0.00723*Dados!J271)</f>
        <v>52.455036311348522</v>
      </c>
      <c r="E271" s="30">
        <v>269</v>
      </c>
      <c r="F271" s="28">
        <f>10^(3.998-0.0101*Dados!I271-0.0152*Dados!J271-1.163*Dados!K271)</f>
        <v>56.570436533755114</v>
      </c>
    </row>
    <row r="272" spans="2:6" x14ac:dyDescent="0.25">
      <c r="B272" s="30">
        <v>270</v>
      </c>
      <c r="C272" s="31">
        <f>10^(2.039-0.00874*Dados!I272-0.00723*Dados!J272)</f>
        <v>23.424859785217254</v>
      </c>
      <c r="E272" s="30">
        <v>270</v>
      </c>
      <c r="F272" s="28">
        <f>10^(3.998-0.0101*Dados!I272-0.0152*Dados!J272-1.163*Dados!K272)</f>
        <v>8.2929872943092988</v>
      </c>
    </row>
    <row r="273" spans="2:6" x14ac:dyDescent="0.25">
      <c r="B273" s="30">
        <v>271</v>
      </c>
      <c r="C273" s="31">
        <f>10^(2.039-0.00874*Dados!I273-0.00723*Dados!J273)</f>
        <v>24.396695179152978</v>
      </c>
      <c r="E273" s="30">
        <v>271</v>
      </c>
      <c r="F273" s="28">
        <f>10^(3.998-0.0101*Dados!I273-0.0152*Dados!J273-1.163*Dados!K273)</f>
        <v>8.667403199352762</v>
      </c>
    </row>
    <row r="274" spans="2:6" x14ac:dyDescent="0.25">
      <c r="B274" s="30">
        <v>272</v>
      </c>
      <c r="C274" s="31">
        <f>10^(2.039-0.00874*Dados!I274-0.00723*Dados!J274)</f>
        <v>23.986837886984027</v>
      </c>
      <c r="E274" s="30">
        <v>272</v>
      </c>
      <c r="F274" s="28">
        <f>10^(3.998-0.0101*Dados!I274-0.0152*Dados!J274-1.163*Dados!K274)</f>
        <v>7.6613975769970306</v>
      </c>
    </row>
    <row r="275" spans="2:6" x14ac:dyDescent="0.25">
      <c r="B275" s="30">
        <v>273</v>
      </c>
      <c r="C275" s="31">
        <f>10^(2.039-0.00874*Dados!I275-0.00723*Dados!J275)</f>
        <v>24.501800533586728</v>
      </c>
      <c r="E275" s="30">
        <v>273</v>
      </c>
      <c r="F275" s="28">
        <f>10^(3.998-0.0101*Dados!I275-0.0152*Dados!J275-1.163*Dados!K275)</f>
        <v>13.657273290582388</v>
      </c>
    </row>
    <row r="276" spans="2:6" x14ac:dyDescent="0.25">
      <c r="B276" s="30">
        <v>274</v>
      </c>
      <c r="C276" s="31">
        <f>10^(2.039-0.00874*Dados!I276-0.00723*Dados!J276)</f>
        <v>23.556024643946557</v>
      </c>
      <c r="E276" s="30">
        <v>274</v>
      </c>
      <c r="F276" s="28">
        <f>10^(3.998-0.0101*Dados!I276-0.0152*Dados!J276-1.163*Dados!K276)</f>
        <v>6.8740549580777914</v>
      </c>
    </row>
    <row r="277" spans="2:6" x14ac:dyDescent="0.25">
      <c r="B277" s="30">
        <v>275</v>
      </c>
      <c r="C277" s="31">
        <f>10^(2.039-0.00874*Dados!I277-0.00723*Dados!J277)</f>
        <v>24.13870682115849</v>
      </c>
      <c r="E277" s="30">
        <v>275</v>
      </c>
      <c r="F277" s="28">
        <f>10^(3.998-0.0101*Dados!I277-0.0152*Dados!J277-1.163*Dados!K277)</f>
        <v>7.6340851547913893</v>
      </c>
    </row>
    <row r="278" spans="2:6" x14ac:dyDescent="0.25">
      <c r="B278" s="30">
        <v>276</v>
      </c>
      <c r="C278" s="31">
        <f>10^(2.039-0.00874*Dados!I278-0.00723*Dados!J278)</f>
        <v>26.200284065528351</v>
      </c>
      <c r="E278" s="30">
        <v>276</v>
      </c>
      <c r="F278" s="28">
        <f>10^(3.998-0.0101*Dados!I278-0.0152*Dados!J278-1.163*Dados!K278)</f>
        <v>20.795865504125501</v>
      </c>
    </row>
    <row r="279" spans="2:6" x14ac:dyDescent="0.25">
      <c r="B279" s="30">
        <v>277</v>
      </c>
      <c r="C279" s="31">
        <f>10^(2.039-0.00874*Dados!I279-0.00723*Dados!J279)</f>
        <v>24.831102348998055</v>
      </c>
      <c r="E279" s="30">
        <v>277</v>
      </c>
      <c r="F279" s="28">
        <f>10^(3.998-0.0101*Dados!I279-0.0152*Dados!J279-1.163*Dados!K279)</f>
        <v>7.3389681004524769</v>
      </c>
    </row>
    <row r="280" spans="2:6" x14ac:dyDescent="0.25">
      <c r="B280" s="30">
        <v>278</v>
      </c>
      <c r="C280" s="31">
        <f>10^(2.039-0.00874*Dados!I280-0.00723*Dados!J280)</f>
        <v>25.00305061215516</v>
      </c>
      <c r="E280" s="30">
        <v>278</v>
      </c>
      <c r="F280" s="28">
        <f>10^(3.998-0.0101*Dados!I280-0.0152*Dados!J280-1.163*Dados!K280)</f>
        <v>8.9634665063478991</v>
      </c>
    </row>
    <row r="281" spans="2:6" x14ac:dyDescent="0.25">
      <c r="B281" s="30">
        <v>279</v>
      </c>
      <c r="C281" s="31">
        <f>10^(2.039-0.00874*Dados!I281-0.00723*Dados!J281)</f>
        <v>23.836692829651021</v>
      </c>
      <c r="E281" s="30">
        <v>279</v>
      </c>
      <c r="F281" s="28">
        <f>10^(3.998-0.0101*Dados!I281-0.0152*Dados!J281-1.163*Dados!K281)</f>
        <v>7.0690816838406016</v>
      </c>
    </row>
    <row r="282" spans="2:6" x14ac:dyDescent="0.25">
      <c r="B282" s="30">
        <v>280</v>
      </c>
      <c r="C282" s="31">
        <f>10^(2.039-0.00874*Dados!I282-0.00723*Dados!J282)</f>
        <v>24.459749219723641</v>
      </c>
      <c r="E282" s="30">
        <v>280</v>
      </c>
      <c r="F282" s="28">
        <f>10^(3.998-0.0101*Dados!I282-0.0152*Dados!J282-1.163*Dados!K282)</f>
        <v>7.3204874427594175</v>
      </c>
    </row>
    <row r="283" spans="2:6" x14ac:dyDescent="0.25">
      <c r="B283" s="30">
        <v>281</v>
      </c>
      <c r="C283" s="31">
        <f>10^(2.039-0.00874*Dados!I283-0.00723*Dados!J283)</f>
        <v>23.059240559551753</v>
      </c>
      <c r="E283" s="30">
        <v>281</v>
      </c>
      <c r="F283" s="28">
        <f>10^(3.998-0.0101*Dados!I283-0.0152*Dados!J283-1.163*Dados!K283)</f>
        <v>8.3275835763093582</v>
      </c>
    </row>
    <row r="284" spans="2:6" x14ac:dyDescent="0.25">
      <c r="B284" s="30">
        <v>282</v>
      </c>
      <c r="C284" s="31">
        <f>10^(2.039-0.00874*Dados!I284-0.00723*Dados!J284)</f>
        <v>23.586581425814934</v>
      </c>
      <c r="E284" s="30">
        <v>282</v>
      </c>
      <c r="F284" s="28">
        <f>10^(3.998-0.0101*Dados!I284-0.0152*Dados!J284-1.163*Dados!K284)</f>
        <v>7.6472625344948311</v>
      </c>
    </row>
    <row r="285" spans="2:6" x14ac:dyDescent="0.25">
      <c r="B285" s="30">
        <v>283</v>
      </c>
      <c r="C285" s="31">
        <f>10^(2.039-0.00874*Dados!I285-0.00723*Dados!J285)</f>
        <v>24.697500335316619</v>
      </c>
      <c r="E285" s="30">
        <v>283</v>
      </c>
      <c r="F285" s="28">
        <f>10^(3.998-0.0101*Dados!I285-0.0152*Dados!J285-1.163*Dados!K285)</f>
        <v>8.8274039347369815</v>
      </c>
    </row>
    <row r="286" spans="2:6" x14ac:dyDescent="0.25">
      <c r="B286" s="30">
        <v>284</v>
      </c>
      <c r="C286" s="31">
        <f>10^(2.039-0.00874*Dados!I286-0.00723*Dados!J286)</f>
        <v>23.175920903187865</v>
      </c>
      <c r="E286" s="30">
        <v>284</v>
      </c>
      <c r="F286" s="28">
        <f>10^(3.998-0.0101*Dados!I286-0.0152*Dados!J286-1.163*Dados!K286)</f>
        <v>8.6337009162753144</v>
      </c>
    </row>
    <row r="287" spans="2:6" x14ac:dyDescent="0.25">
      <c r="B287" s="30">
        <v>285</v>
      </c>
      <c r="C287" s="31">
        <f>10^(2.039-0.00874*Dados!I287-0.00723*Dados!J287)</f>
        <v>24.578082632119127</v>
      </c>
      <c r="E287" s="30">
        <v>285</v>
      </c>
      <c r="F287" s="28">
        <f>10^(3.998-0.0101*Dados!I287-0.0152*Dados!J287-1.163*Dados!K287)</f>
        <v>9.567886173642524</v>
      </c>
    </row>
    <row r="288" spans="2:6" x14ac:dyDescent="0.25">
      <c r="B288" s="30">
        <v>286</v>
      </c>
      <c r="C288" s="31">
        <f>10^(2.039-0.00874*Dados!I288-0.00723*Dados!J288)</f>
        <v>24.669139451664975</v>
      </c>
      <c r="E288" s="30">
        <v>286</v>
      </c>
      <c r="F288" s="28">
        <f>10^(3.998-0.0101*Dados!I288-0.0152*Dados!J288-1.163*Dados!K288)</f>
        <v>7.787534792924756</v>
      </c>
    </row>
    <row r="289" spans="2:6" x14ac:dyDescent="0.25">
      <c r="B289" s="30">
        <v>287</v>
      </c>
      <c r="C289" s="31">
        <f>10^(2.039-0.00874*Dados!I289-0.00723*Dados!J289)</f>
        <v>23.159597108486558</v>
      </c>
      <c r="E289" s="30">
        <v>287</v>
      </c>
      <c r="F289" s="28">
        <f>10^(3.998-0.0101*Dados!I289-0.0152*Dados!J289-1.163*Dados!K289)</f>
        <v>11.54824529213691</v>
      </c>
    </row>
    <row r="290" spans="2:6" x14ac:dyDescent="0.25">
      <c r="B290" s="30">
        <v>288</v>
      </c>
      <c r="C290" s="31">
        <f>10^(2.039-0.00874*Dados!I290-0.00723*Dados!J290)</f>
        <v>23.348231998272823</v>
      </c>
      <c r="E290" s="30">
        <v>288</v>
      </c>
      <c r="F290" s="28">
        <f>10^(3.998-0.0101*Dados!I290-0.0152*Dados!J290-1.163*Dados!K290)</f>
        <v>8.6547793461068405</v>
      </c>
    </row>
    <row r="291" spans="2:6" x14ac:dyDescent="0.25">
      <c r="B291" s="30">
        <v>289</v>
      </c>
      <c r="C291" s="31">
        <f>10^(2.039-0.00874*Dados!I291-0.00723*Dados!J291)</f>
        <v>25.569780505559656</v>
      </c>
      <c r="E291" s="30">
        <v>289</v>
      </c>
      <c r="F291" s="28">
        <f>10^(3.998-0.0101*Dados!I291-0.0152*Dados!J291-1.163*Dados!K291)</f>
        <v>15.772625801569161</v>
      </c>
    </row>
    <row r="292" spans="2:6" x14ac:dyDescent="0.25">
      <c r="B292" s="30">
        <v>290</v>
      </c>
      <c r="C292" s="31">
        <f>10^(2.039-0.00874*Dados!I292-0.00723*Dados!J292)</f>
        <v>24.037926338777236</v>
      </c>
      <c r="E292" s="30">
        <v>290</v>
      </c>
      <c r="F292" s="28">
        <f>10^(3.998-0.0101*Dados!I292-0.0152*Dados!J292-1.163*Dados!K292)</f>
        <v>6.4590255130059075</v>
      </c>
    </row>
    <row r="293" spans="2:6" x14ac:dyDescent="0.25">
      <c r="B293" s="30">
        <v>291</v>
      </c>
      <c r="C293" s="31">
        <f>10^(2.039-0.00874*Dados!I293-0.00723*Dados!J293)</f>
        <v>25.718580816503849</v>
      </c>
      <c r="E293" s="30">
        <v>291</v>
      </c>
      <c r="F293" s="28">
        <f>10^(3.998-0.0101*Dados!I293-0.0152*Dados!J293-1.163*Dados!K293)</f>
        <v>8.3614962629779175</v>
      </c>
    </row>
    <row r="294" spans="2:6" x14ac:dyDescent="0.25">
      <c r="B294" s="30">
        <v>292</v>
      </c>
      <c r="C294" s="31">
        <f>10^(2.039-0.00874*Dados!I294-0.00723*Dados!J294)</f>
        <v>25.168248886577551</v>
      </c>
      <c r="E294" s="30">
        <v>292</v>
      </c>
      <c r="F294" s="28">
        <f>10^(3.998-0.0101*Dados!I294-0.0152*Dados!J294-1.163*Dados!K294)</f>
        <v>9.6802372181120369</v>
      </c>
    </row>
    <row r="295" spans="2:6" x14ac:dyDescent="0.25">
      <c r="B295" s="30">
        <v>293</v>
      </c>
      <c r="C295" s="31">
        <f>10^(2.039-0.00874*Dados!I295-0.00723*Dados!J295)</f>
        <v>23.662520324417393</v>
      </c>
      <c r="E295" s="30">
        <v>293</v>
      </c>
      <c r="F295" s="28">
        <f>10^(3.998-0.0101*Dados!I295-0.0152*Dados!J295-1.163*Dados!K295)</f>
        <v>10.637143056316503</v>
      </c>
    </row>
    <row r="296" spans="2:6" x14ac:dyDescent="0.25">
      <c r="B296" s="30">
        <v>294</v>
      </c>
      <c r="C296" s="31">
        <f>10^(2.039-0.00874*Dados!I296-0.00723*Dados!J296)</f>
        <v>24.157556280502771</v>
      </c>
      <c r="E296" s="30">
        <v>294</v>
      </c>
      <c r="F296" s="28">
        <f>10^(3.998-0.0101*Dados!I296-0.0152*Dados!J296-1.163*Dados!K296)</f>
        <v>9.9330357832943807</v>
      </c>
    </row>
    <row r="297" spans="2:6" x14ac:dyDescent="0.25">
      <c r="B297" s="30">
        <v>295</v>
      </c>
      <c r="C297" s="31">
        <f>10^(2.039-0.00874*Dados!I297-0.00723*Dados!J297)</f>
        <v>24.874823048653127</v>
      </c>
      <c r="E297" s="30">
        <v>295</v>
      </c>
      <c r="F297" s="28">
        <f>10^(3.998-0.0101*Dados!I297-0.0152*Dados!J297-1.163*Dados!K297)</f>
        <v>11.40872206129233</v>
      </c>
    </row>
    <row r="298" spans="2:6" x14ac:dyDescent="0.25">
      <c r="B298" s="30">
        <v>296</v>
      </c>
      <c r="C298" s="31">
        <f>10^(2.039-0.00874*Dados!I298-0.00723*Dados!J298)</f>
        <v>23.09915004971786</v>
      </c>
      <c r="E298" s="30">
        <v>296</v>
      </c>
      <c r="F298" s="28">
        <f>10^(3.998-0.0101*Dados!I298-0.0152*Dados!J298-1.163*Dados!K298)</f>
        <v>9.257847018559449</v>
      </c>
    </row>
    <row r="299" spans="2:6" x14ac:dyDescent="0.25">
      <c r="B299" s="30">
        <v>297</v>
      </c>
      <c r="C299" s="31">
        <f>10^(2.039-0.00874*Dados!I299-0.00723*Dados!J299)</f>
        <v>24.154719580787759</v>
      </c>
      <c r="E299" s="30">
        <v>297</v>
      </c>
      <c r="F299" s="28">
        <f>10^(3.998-0.0101*Dados!I299-0.0152*Dados!J299-1.163*Dados!K299)</f>
        <v>9.4201322514944881</v>
      </c>
    </row>
    <row r="300" spans="2:6" x14ac:dyDescent="0.25">
      <c r="B300" s="30">
        <v>298</v>
      </c>
      <c r="C300" s="31">
        <f>10^(2.039-0.00874*Dados!I300-0.00723*Dados!J300)</f>
        <v>24.027301608323516</v>
      </c>
      <c r="E300" s="30">
        <v>298</v>
      </c>
      <c r="F300" s="28">
        <f>10^(3.998-0.0101*Dados!I300-0.0152*Dados!J300-1.163*Dados!K300)</f>
        <v>11.989939729168812</v>
      </c>
    </row>
    <row r="301" spans="2:6" x14ac:dyDescent="0.25">
      <c r="B301" s="30">
        <v>299</v>
      </c>
      <c r="C301" s="31">
        <f>10^(2.039-0.00874*Dados!I301-0.00723*Dados!J301)</f>
        <v>23.395805380502718</v>
      </c>
      <c r="E301" s="30">
        <v>299</v>
      </c>
      <c r="F301" s="28">
        <f>10^(3.998-0.0101*Dados!I301-0.0152*Dados!J301-1.163*Dados!K301)</f>
        <v>11.846471119429047</v>
      </c>
    </row>
    <row r="302" spans="2:6" x14ac:dyDescent="0.25">
      <c r="B302" s="30">
        <v>300</v>
      </c>
      <c r="C302" s="31">
        <f>10^(2.039-0.00874*Dados!I302-0.00723*Dados!J302)</f>
        <v>24.235556695335454</v>
      </c>
      <c r="E302" s="30">
        <v>300</v>
      </c>
      <c r="F302" s="28">
        <f>10^(3.998-0.0101*Dados!I302-0.0152*Dados!J302-1.163*Dados!K302)</f>
        <v>9.1538543933499383</v>
      </c>
    </row>
    <row r="303" spans="2:6" x14ac:dyDescent="0.25">
      <c r="B303" s="30">
        <v>301</v>
      </c>
      <c r="C303" s="31">
        <f>10^(2.039-0.00874*Dados!I303-0.00723*Dados!J303)</f>
        <v>23.866349710784029</v>
      </c>
      <c r="E303" s="30">
        <v>301</v>
      </c>
      <c r="F303" s="28">
        <f>10^(3.998-0.0101*Dados!I303-0.0152*Dados!J303-1.163*Dados!K303)</f>
        <v>32.37665667576163</v>
      </c>
    </row>
    <row r="304" spans="2:6" x14ac:dyDescent="0.25">
      <c r="B304" s="30">
        <v>302</v>
      </c>
      <c r="C304" s="31">
        <f>10^(2.039-0.00874*Dados!I304-0.00723*Dados!J304)</f>
        <v>23.249092210876608</v>
      </c>
      <c r="E304" s="30">
        <v>302</v>
      </c>
      <c r="F304" s="28">
        <f>10^(3.998-0.0101*Dados!I304-0.0152*Dados!J304-1.163*Dados!K304)</f>
        <v>23.84794711840577</v>
      </c>
    </row>
    <row r="305" spans="2:6" x14ac:dyDescent="0.25">
      <c r="B305" s="30">
        <v>303</v>
      </c>
      <c r="C305" s="31">
        <f>10^(2.039-0.00874*Dados!I305-0.00723*Dados!J305)</f>
        <v>24.18633144118515</v>
      </c>
      <c r="E305" s="30">
        <v>303</v>
      </c>
      <c r="F305" s="28">
        <f>10^(3.998-0.0101*Dados!I305-0.0152*Dados!J305-1.163*Dados!K305)</f>
        <v>17.184266528800318</v>
      </c>
    </row>
    <row r="306" spans="2:6" x14ac:dyDescent="0.25">
      <c r="B306" s="30">
        <v>304</v>
      </c>
      <c r="C306" s="31">
        <f>10^(2.039-0.00874*Dados!I306-0.00723*Dados!J306)</f>
        <v>23.212825144540606</v>
      </c>
      <c r="E306" s="30">
        <v>304</v>
      </c>
      <c r="F306" s="28">
        <f>10^(3.998-0.0101*Dados!I306-0.0152*Dados!J306-1.163*Dados!K306)</f>
        <v>9.5025464241213307</v>
      </c>
    </row>
    <row r="307" spans="2:6" x14ac:dyDescent="0.25">
      <c r="B307" s="30">
        <v>305</v>
      </c>
      <c r="C307" s="31">
        <f>10^(2.039-0.00874*Dados!I307-0.00723*Dados!J307)</f>
        <v>25.270044109932961</v>
      </c>
      <c r="E307" s="30">
        <v>305</v>
      </c>
      <c r="F307" s="28">
        <f>10^(3.998-0.0101*Dados!I307-0.0152*Dados!J307-1.163*Dados!K307)</f>
        <v>21.991102358827039</v>
      </c>
    </row>
    <row r="308" spans="2:6" x14ac:dyDescent="0.25">
      <c r="B308" s="30">
        <v>306</v>
      </c>
      <c r="C308" s="31">
        <f>10^(2.039-0.00874*Dados!I308-0.00723*Dados!J308)</f>
        <v>23.921697817103631</v>
      </c>
      <c r="E308" s="30">
        <v>306</v>
      </c>
      <c r="F308" s="28">
        <f>10^(3.998-0.0101*Dados!I308-0.0152*Dados!J308-1.163*Dados!K308)</f>
        <v>9.3237581546854269</v>
      </c>
    </row>
    <row r="309" spans="2:6" x14ac:dyDescent="0.25">
      <c r="B309" s="30">
        <v>307</v>
      </c>
      <c r="C309" s="31">
        <f>10^(2.039-0.00874*Dados!I309-0.00723*Dados!J309)</f>
        <v>24.356114105203588</v>
      </c>
      <c r="E309" s="30">
        <v>307</v>
      </c>
      <c r="F309" s="28">
        <f>10^(3.998-0.0101*Dados!I309-0.0152*Dados!J309-1.163*Dados!K309)</f>
        <v>11.815170686531923</v>
      </c>
    </row>
    <row r="310" spans="2:6" x14ac:dyDescent="0.25">
      <c r="B310" s="30">
        <v>308</v>
      </c>
      <c r="C310" s="31">
        <f>10^(2.039-0.00874*Dados!I310-0.00723*Dados!J310)</f>
        <v>24.583855808969027</v>
      </c>
      <c r="E310" s="30">
        <v>308</v>
      </c>
      <c r="F310" s="28">
        <f>10^(3.998-0.0101*Dados!I310-0.0152*Dados!J310-1.163*Dados!K310)</f>
        <v>37.152410787438207</v>
      </c>
    </row>
    <row r="311" spans="2:6" x14ac:dyDescent="0.25">
      <c r="B311" s="30">
        <v>309</v>
      </c>
      <c r="C311" s="31">
        <f>10^(2.039-0.00874*Dados!I311-0.00723*Dados!J311)</f>
        <v>24.416252075963428</v>
      </c>
      <c r="E311" s="30">
        <v>309</v>
      </c>
      <c r="F311" s="28">
        <f>10^(3.998-0.0101*Dados!I311-0.0152*Dados!J311-1.163*Dados!K311)</f>
        <v>9.3233502574238383</v>
      </c>
    </row>
    <row r="312" spans="2:6" x14ac:dyDescent="0.25">
      <c r="B312" s="30">
        <v>310</v>
      </c>
      <c r="C312" s="31">
        <f>10^(2.039-0.00874*Dados!I312-0.00723*Dados!J312)</f>
        <v>29.186162757705848</v>
      </c>
      <c r="E312" s="30">
        <v>310</v>
      </c>
      <c r="F312" s="28">
        <f>10^(3.998-0.0101*Dados!I312-0.0152*Dados!J312-1.163*Dados!K312)</f>
        <v>18.644124742058295</v>
      </c>
    </row>
    <row r="313" spans="2:6" x14ac:dyDescent="0.25">
      <c r="B313" s="30">
        <v>311</v>
      </c>
      <c r="C313" s="31">
        <f>10^(2.039-0.00874*Dados!I313-0.00723*Dados!J313)</f>
        <v>24.84837542326887</v>
      </c>
      <c r="E313" s="30">
        <v>311</v>
      </c>
      <c r="F313" s="28">
        <f>10^(3.998-0.0101*Dados!I313-0.0152*Dados!J313-1.163*Dados!K313)</f>
        <v>18.052859409321659</v>
      </c>
    </row>
    <row r="314" spans="2:6" x14ac:dyDescent="0.25">
      <c r="B314" s="30">
        <v>312</v>
      </c>
      <c r="C314" s="31">
        <f>10^(2.039-0.00874*Dados!I314-0.00723*Dados!J314)</f>
        <v>37.752785453170333</v>
      </c>
      <c r="E314" s="30">
        <v>312</v>
      </c>
      <c r="F314" s="28">
        <f>10^(3.998-0.0101*Dados!I314-0.0152*Dados!J314-1.163*Dados!K314)</f>
        <v>28.878391515577761</v>
      </c>
    </row>
    <row r="315" spans="2:6" x14ac:dyDescent="0.25">
      <c r="B315" s="30">
        <v>313</v>
      </c>
      <c r="C315" s="31">
        <f>10^(2.039-0.00874*Dados!I315-0.00723*Dados!J315)</f>
        <v>23.863547205984432</v>
      </c>
      <c r="E315" s="30">
        <v>313</v>
      </c>
      <c r="F315" s="28">
        <f>10^(3.998-0.0101*Dados!I315-0.0152*Dados!J315-1.163*Dados!K315)</f>
        <v>6.4963138742223148</v>
      </c>
    </row>
    <row r="316" spans="2:6" x14ac:dyDescent="0.25">
      <c r="B316" s="30">
        <v>314</v>
      </c>
      <c r="C316" s="31">
        <f>10^(2.039-0.00874*Dados!I316-0.00723*Dados!J316)</f>
        <v>27.072726757950438</v>
      </c>
      <c r="E316" s="30">
        <v>314</v>
      </c>
      <c r="F316" s="28">
        <f>10^(3.998-0.0101*Dados!I316-0.0152*Dados!J316-1.163*Dados!K316)</f>
        <v>10.973495755562015</v>
      </c>
    </row>
    <row r="317" spans="2:6" x14ac:dyDescent="0.25">
      <c r="B317" s="30">
        <v>315</v>
      </c>
      <c r="C317" s="31">
        <f>10^(2.039-0.00874*Dados!I317-0.00723*Dados!J317)</f>
        <v>28.445069551136115</v>
      </c>
      <c r="E317" s="30">
        <v>315</v>
      </c>
      <c r="F317" s="28">
        <f>10^(3.998-0.0101*Dados!I317-0.0152*Dados!J317-1.163*Dados!K317)</f>
        <v>14.956914119338101</v>
      </c>
    </row>
    <row r="318" spans="2:6" x14ac:dyDescent="0.25">
      <c r="B318" s="30">
        <v>316</v>
      </c>
      <c r="C318" s="31">
        <f>10^(2.039-0.00874*Dados!I318-0.00723*Dados!J318)</f>
        <v>27.870130354160533</v>
      </c>
      <c r="E318" s="30">
        <v>316</v>
      </c>
      <c r="F318" s="28">
        <f>10^(3.998-0.0101*Dados!I318-0.0152*Dados!J318-1.163*Dados!K318)</f>
        <v>22.369537244493674</v>
      </c>
    </row>
    <row r="319" spans="2:6" x14ac:dyDescent="0.25">
      <c r="B319" s="30">
        <v>317</v>
      </c>
      <c r="C319" s="31">
        <f>10^(2.039-0.00874*Dados!I319-0.00723*Dados!J319)</f>
        <v>26.515755148097579</v>
      </c>
      <c r="E319" s="30">
        <v>317</v>
      </c>
      <c r="F319" s="28">
        <f>10^(3.998-0.0101*Dados!I319-0.0152*Dados!J319-1.163*Dados!K319)</f>
        <v>22.906091963807782</v>
      </c>
    </row>
    <row r="320" spans="2:6" x14ac:dyDescent="0.25">
      <c r="B320" s="30">
        <v>318</v>
      </c>
      <c r="C320" s="31">
        <f>10^(2.039-0.00874*Dados!I320-0.00723*Dados!J320)</f>
        <v>30.401499154085819</v>
      </c>
      <c r="E320" s="30">
        <v>318</v>
      </c>
      <c r="F320" s="28">
        <f>10^(3.998-0.0101*Dados!I320-0.0152*Dados!J320-1.163*Dados!K320)</f>
        <v>31.218282046536181</v>
      </c>
    </row>
    <row r="321" spans="2:6" x14ac:dyDescent="0.25">
      <c r="B321" s="30">
        <v>319</v>
      </c>
      <c r="C321" s="31">
        <f>10^(2.039-0.00874*Dados!I321-0.00723*Dados!J321)</f>
        <v>25.04194169230113</v>
      </c>
      <c r="E321" s="30">
        <v>319</v>
      </c>
      <c r="F321" s="28">
        <f>10^(3.998-0.0101*Dados!I321-0.0152*Dados!J321-1.163*Dados!K321)</f>
        <v>39.279866220877281</v>
      </c>
    </row>
    <row r="322" spans="2:6" x14ac:dyDescent="0.25">
      <c r="B322" s="30">
        <v>320</v>
      </c>
      <c r="C322" s="31">
        <f>10^(2.039-0.00874*Dados!I322-0.00723*Dados!J322)</f>
        <v>27.799436962576131</v>
      </c>
      <c r="E322" s="30">
        <v>320</v>
      </c>
      <c r="F322" s="28">
        <f>10^(3.998-0.0101*Dados!I322-0.0152*Dados!J322-1.163*Dados!K322)</f>
        <v>14.035794466886202</v>
      </c>
    </row>
    <row r="323" spans="2:6" x14ac:dyDescent="0.25">
      <c r="B323" s="30">
        <v>321</v>
      </c>
      <c r="C323" s="31">
        <f>10^(2.039-0.00874*Dados!I323-0.00723*Dados!J323)</f>
        <v>25.437240728267824</v>
      </c>
      <c r="E323" s="30">
        <v>321</v>
      </c>
      <c r="F323" s="28">
        <f>10^(3.998-0.0101*Dados!I323-0.0152*Dados!J323-1.163*Dados!K323)</f>
        <v>11.814599386190674</v>
      </c>
    </row>
    <row r="324" spans="2:6" x14ac:dyDescent="0.25">
      <c r="B324" s="30">
        <v>322</v>
      </c>
      <c r="C324" s="31">
        <f>10^(2.039-0.00874*Dados!I324-0.00723*Dados!J324)</f>
        <v>26.95547566919004</v>
      </c>
      <c r="E324" s="30">
        <v>322</v>
      </c>
      <c r="F324" s="28">
        <f>10^(3.998-0.0101*Dados!I324-0.0152*Dados!J324-1.163*Dados!K324)</f>
        <v>18.267873686108111</v>
      </c>
    </row>
    <row r="325" spans="2:6" x14ac:dyDescent="0.25">
      <c r="B325" s="30">
        <v>323</v>
      </c>
      <c r="C325" s="31">
        <f>10^(2.039-0.00874*Dados!I325-0.00723*Dados!J325)</f>
        <v>25.699637645626623</v>
      </c>
      <c r="E325" s="30">
        <v>323</v>
      </c>
      <c r="F325" s="28">
        <f>10^(3.998-0.0101*Dados!I325-0.0152*Dados!J325-1.163*Dados!K325)</f>
        <v>9.4322216978816247</v>
      </c>
    </row>
    <row r="326" spans="2:6" x14ac:dyDescent="0.25">
      <c r="B326" s="30">
        <v>324</v>
      </c>
      <c r="C326" s="31">
        <f>10^(2.039-0.00874*Dados!I326-0.00723*Dados!J326)</f>
        <v>26.766155703435789</v>
      </c>
      <c r="E326" s="30">
        <v>324</v>
      </c>
      <c r="F326" s="28">
        <f>10^(3.998-0.0101*Dados!I326-0.0152*Dados!J326-1.163*Dados!K326)</f>
        <v>14.758118731712596</v>
      </c>
    </row>
    <row r="327" spans="2:6" x14ac:dyDescent="0.25">
      <c r="B327" s="30">
        <v>325</v>
      </c>
      <c r="C327" s="31">
        <f>10^(2.039-0.00874*Dados!I327-0.00723*Dados!J327)</f>
        <v>25.030988460135347</v>
      </c>
      <c r="E327" s="30">
        <v>325</v>
      </c>
      <c r="F327" s="28">
        <f>10^(3.998-0.0101*Dados!I327-0.0152*Dados!J327-1.163*Dados!K327)</f>
        <v>7.2579504675829343</v>
      </c>
    </row>
    <row r="328" spans="2:6" x14ac:dyDescent="0.25">
      <c r="B328" s="30">
        <v>326</v>
      </c>
      <c r="C328" s="31">
        <f>10^(2.039-0.00874*Dados!I328-0.00723*Dados!J328)</f>
        <v>24.019446755808445</v>
      </c>
      <c r="E328" s="30">
        <v>326</v>
      </c>
      <c r="F328" s="28">
        <f>10^(3.998-0.0101*Dados!I328-0.0152*Dados!J328-1.163*Dados!K328)</f>
        <v>8.1399736681443677</v>
      </c>
    </row>
    <row r="329" spans="2:6" x14ac:dyDescent="0.25">
      <c r="B329" s="30">
        <v>327</v>
      </c>
      <c r="C329" s="31">
        <f>10^(2.039-0.00874*Dados!I329-0.00723*Dados!J329)</f>
        <v>26.757405482171922</v>
      </c>
      <c r="E329" s="30">
        <v>327</v>
      </c>
      <c r="F329" s="28">
        <f>10^(3.998-0.0101*Dados!I329-0.0152*Dados!J329-1.163*Dados!K329)</f>
        <v>17.818945519369272</v>
      </c>
    </row>
    <row r="330" spans="2:6" x14ac:dyDescent="0.25">
      <c r="B330" s="30">
        <v>328</v>
      </c>
      <c r="C330" s="31">
        <f>10^(2.039-0.00874*Dados!I330-0.00723*Dados!J330)</f>
        <v>24.482964339088721</v>
      </c>
      <c r="E330" s="30">
        <v>328</v>
      </c>
      <c r="F330" s="28">
        <f>10^(3.998-0.0101*Dados!I330-0.0152*Dados!J330-1.163*Dados!K330)</f>
        <v>8.7414001271048498</v>
      </c>
    </row>
    <row r="331" spans="2:6" x14ac:dyDescent="0.25">
      <c r="B331" s="30">
        <v>329</v>
      </c>
      <c r="C331" s="31">
        <f>10^(2.039-0.00874*Dados!I331-0.00723*Dados!J331)</f>
        <v>24.29970492910622</v>
      </c>
      <c r="E331" s="30">
        <v>329</v>
      </c>
      <c r="F331" s="28">
        <f>10^(3.998-0.0101*Dados!I331-0.0152*Dados!J331-1.163*Dados!K331)</f>
        <v>34.712908216491009</v>
      </c>
    </row>
    <row r="332" spans="2:6" x14ac:dyDescent="0.25">
      <c r="B332" s="30">
        <v>330</v>
      </c>
      <c r="C332" s="31">
        <f>10^(2.039-0.00874*Dados!I332-0.00723*Dados!J332)</f>
        <v>25.873787083519385</v>
      </c>
      <c r="E332" s="30">
        <v>330</v>
      </c>
      <c r="F332" s="28">
        <f>10^(3.998-0.0101*Dados!I332-0.0152*Dados!J332-1.163*Dados!K332)</f>
        <v>10.573968200485179</v>
      </c>
    </row>
    <row r="333" spans="2:6" x14ac:dyDescent="0.25">
      <c r="B333" s="30">
        <v>331</v>
      </c>
      <c r="C333" s="31">
        <f>10^(2.039-0.00874*Dados!I333-0.00723*Dados!J333)</f>
        <v>26.311463188138166</v>
      </c>
      <c r="E333" s="30">
        <v>331</v>
      </c>
      <c r="F333" s="28">
        <f>10^(3.998-0.0101*Dados!I333-0.0152*Dados!J333-1.163*Dados!K333)</f>
        <v>11.773592494160452</v>
      </c>
    </row>
    <row r="334" spans="2:6" x14ac:dyDescent="0.25">
      <c r="B334" s="30">
        <v>332</v>
      </c>
      <c r="C334" s="31">
        <f>10^(2.039-0.00874*Dados!I334-0.00723*Dados!J334)</f>
        <v>23.967624941774215</v>
      </c>
      <c r="E334" s="30">
        <v>332</v>
      </c>
      <c r="F334" s="28">
        <f>10^(3.998-0.0101*Dados!I334-0.0152*Dados!J334-1.163*Dados!K334)</f>
        <v>8.9909586433440563</v>
      </c>
    </row>
    <row r="335" spans="2:6" x14ac:dyDescent="0.25">
      <c r="B335" s="30">
        <v>333</v>
      </c>
      <c r="C335" s="31">
        <f>10^(2.039-0.00874*Dados!I335-0.00723*Dados!J335)</f>
        <v>25.816062273371013</v>
      </c>
      <c r="E335" s="30">
        <v>333</v>
      </c>
      <c r="F335" s="28">
        <f>10^(3.998-0.0101*Dados!I335-0.0152*Dados!J335-1.163*Dados!K335)</f>
        <v>12.438012816851009</v>
      </c>
    </row>
    <row r="336" spans="2:6" x14ac:dyDescent="0.25">
      <c r="B336" s="30">
        <v>334</v>
      </c>
      <c r="C336" s="31">
        <f>10^(2.039-0.00874*Dados!I336-0.00723*Dados!J336)</f>
        <v>23.799015946259114</v>
      </c>
      <c r="E336" s="30">
        <v>334</v>
      </c>
      <c r="F336" s="28">
        <f>10^(3.998-0.0101*Dados!I336-0.0152*Dados!J336-1.163*Dados!K336)</f>
        <v>7.2893029454053293</v>
      </c>
    </row>
    <row r="337" spans="2:6" x14ac:dyDescent="0.25">
      <c r="B337" s="30">
        <v>335</v>
      </c>
      <c r="C337" s="31">
        <f>10^(2.039-0.00874*Dados!I337-0.00723*Dados!J337)</f>
        <v>24.943822073805975</v>
      </c>
      <c r="E337" s="30">
        <v>335</v>
      </c>
      <c r="F337" s="28">
        <f>10^(3.998-0.0101*Dados!I337-0.0152*Dados!J337-1.163*Dados!K337)</f>
        <v>13.534804902123597</v>
      </c>
    </row>
    <row r="338" spans="2:6" x14ac:dyDescent="0.25">
      <c r="B338" s="30">
        <v>336</v>
      </c>
      <c r="C338" s="31">
        <f>10^(2.039-0.00874*Dados!I338-0.00723*Dados!J338)</f>
        <v>25.711297883722708</v>
      </c>
      <c r="E338" s="30">
        <v>336</v>
      </c>
      <c r="F338" s="28">
        <f>10^(3.998-0.0101*Dados!I338-0.0152*Dados!J338-1.163*Dados!K338)</f>
        <v>16.100634825755424</v>
      </c>
    </row>
    <row r="339" spans="2:6" x14ac:dyDescent="0.25">
      <c r="B339" s="30">
        <v>337</v>
      </c>
      <c r="C339" s="31">
        <f>10^(2.039-0.00874*Dados!I339-0.00723*Dados!J339)</f>
        <v>28.076437424371271</v>
      </c>
      <c r="E339" s="30">
        <v>337</v>
      </c>
      <c r="F339" s="28">
        <f>10^(3.998-0.0101*Dados!I339-0.0152*Dados!J339-1.163*Dados!K339)</f>
        <v>22.327135085951042</v>
      </c>
    </row>
    <row r="340" spans="2:6" x14ac:dyDescent="0.25">
      <c r="B340" s="30">
        <v>338</v>
      </c>
      <c r="C340" s="31">
        <f>10^(2.039-0.00874*Dados!I340-0.00723*Dados!J340)</f>
        <v>26.149235720394024</v>
      </c>
      <c r="E340" s="30">
        <v>338</v>
      </c>
      <c r="F340" s="28">
        <f>10^(3.998-0.0101*Dados!I340-0.0152*Dados!J340-1.163*Dados!K340)</f>
        <v>15.529447326172686</v>
      </c>
    </row>
    <row r="341" spans="2:6" x14ac:dyDescent="0.25">
      <c r="B341" s="30">
        <v>339</v>
      </c>
      <c r="C341" s="31">
        <f>10^(2.039-0.00874*Dados!I341-0.00723*Dados!J341)</f>
        <v>25.543064497775518</v>
      </c>
      <c r="E341" s="30">
        <v>339</v>
      </c>
      <c r="F341" s="28">
        <f>10^(3.998-0.0101*Dados!I341-0.0152*Dados!J341-1.163*Dados!K341)</f>
        <v>18.56649820777919</v>
      </c>
    </row>
    <row r="342" spans="2:6" x14ac:dyDescent="0.25">
      <c r="B342" s="30">
        <v>340</v>
      </c>
      <c r="C342" s="31">
        <f>10^(2.039-0.00874*Dados!I342-0.00723*Dados!J342)</f>
        <v>26.541166105954286</v>
      </c>
      <c r="E342" s="30">
        <v>340</v>
      </c>
      <c r="F342" s="28">
        <f>10^(3.998-0.0101*Dados!I342-0.0152*Dados!J342-1.163*Dados!K342)</f>
        <v>10.027022743079161</v>
      </c>
    </row>
    <row r="343" spans="2:6" x14ac:dyDescent="0.25">
      <c r="B343" s="30">
        <v>341</v>
      </c>
      <c r="C343" s="31">
        <f>10^(2.039-0.00874*Dados!I343-0.00723*Dados!J343)</f>
        <v>27.059327564630436</v>
      </c>
      <c r="E343" s="30">
        <v>341</v>
      </c>
      <c r="F343" s="28">
        <f>10^(3.998-0.0101*Dados!I343-0.0152*Dados!J343-1.163*Dados!K343)</f>
        <v>15.686750894117548</v>
      </c>
    </row>
    <row r="344" spans="2:6" x14ac:dyDescent="0.25">
      <c r="B344" s="30">
        <v>342</v>
      </c>
      <c r="C344" s="31">
        <f>10^(2.039-0.00874*Dados!I344-0.00723*Dados!J344)</f>
        <v>25.600178883894053</v>
      </c>
      <c r="E344" s="30">
        <v>342</v>
      </c>
      <c r="F344" s="28">
        <f>10^(3.998-0.0101*Dados!I344-0.0152*Dados!J344-1.163*Dados!K344)</f>
        <v>12.011327262868695</v>
      </c>
    </row>
    <row r="345" spans="2:6" x14ac:dyDescent="0.25">
      <c r="B345" s="30">
        <v>343</v>
      </c>
      <c r="C345" s="31">
        <f>10^(2.039-0.00874*Dados!I345-0.00723*Dados!J345)</f>
        <v>26.641213319412419</v>
      </c>
      <c r="E345" s="30">
        <v>343</v>
      </c>
      <c r="F345" s="28">
        <f>10^(3.998-0.0101*Dados!I345-0.0152*Dados!J345-1.163*Dados!K345)</f>
        <v>11.912858958132507</v>
      </c>
    </row>
    <row r="346" spans="2:6" x14ac:dyDescent="0.25">
      <c r="B346" s="30">
        <v>344</v>
      </c>
      <c r="C346" s="31">
        <f>10^(2.039-0.00874*Dados!I346-0.00723*Dados!J346)</f>
        <v>27.138135090332511</v>
      </c>
      <c r="E346" s="30">
        <v>344</v>
      </c>
      <c r="F346" s="28">
        <f>10^(3.998-0.0101*Dados!I346-0.0152*Dados!J346-1.163*Dados!K346)</f>
        <v>14.458458740480005</v>
      </c>
    </row>
    <row r="347" spans="2:6" x14ac:dyDescent="0.25">
      <c r="B347" s="30">
        <v>345</v>
      </c>
      <c r="C347" s="31">
        <f>10^(2.039-0.00874*Dados!I347-0.00723*Dados!J347)</f>
        <v>29.715223424200254</v>
      </c>
      <c r="E347" s="30">
        <v>345</v>
      </c>
      <c r="F347" s="28">
        <f>10^(3.998-0.0101*Dados!I347-0.0152*Dados!J347-1.163*Dados!K347)</f>
        <v>22.000522743479507</v>
      </c>
    </row>
    <row r="348" spans="2:6" x14ac:dyDescent="0.25">
      <c r="B348" s="30">
        <v>346</v>
      </c>
      <c r="C348" s="31">
        <f>10^(2.039-0.00874*Dados!I348-0.00723*Dados!J348)</f>
        <v>25.813625197523923</v>
      </c>
      <c r="E348" s="30">
        <v>346</v>
      </c>
      <c r="F348" s="28">
        <f>10^(3.998-0.0101*Dados!I348-0.0152*Dados!J348-1.163*Dados!K348)</f>
        <v>11.807039060722992</v>
      </c>
    </row>
    <row r="349" spans="2:6" x14ac:dyDescent="0.25">
      <c r="B349" s="30">
        <v>347</v>
      </c>
      <c r="C349" s="31">
        <f>10^(2.039-0.00874*Dados!I349-0.00723*Dados!J349)</f>
        <v>26.648514215234492</v>
      </c>
      <c r="E349" s="30">
        <v>347</v>
      </c>
      <c r="F349" s="28">
        <f>10^(3.998-0.0101*Dados!I349-0.0152*Dados!J349-1.163*Dados!K349)</f>
        <v>14.218212475741176</v>
      </c>
    </row>
    <row r="350" spans="2:6" x14ac:dyDescent="0.25">
      <c r="B350" s="30">
        <v>348</v>
      </c>
      <c r="C350" s="31">
        <f>10^(2.039-0.00874*Dados!I350-0.00723*Dados!J350)</f>
        <v>28.123217135553116</v>
      </c>
      <c r="E350" s="30">
        <v>348</v>
      </c>
      <c r="F350" s="28">
        <f>10^(3.998-0.0101*Dados!I350-0.0152*Dados!J350-1.163*Dados!K350)</f>
        <v>10.557230408263356</v>
      </c>
    </row>
    <row r="351" spans="2:6" x14ac:dyDescent="0.25">
      <c r="B351" s="30">
        <v>349</v>
      </c>
      <c r="C351" s="31">
        <f>10^(2.039-0.00874*Dados!I351-0.00723*Dados!J351)</f>
        <v>26.09143707435658</v>
      </c>
      <c r="E351" s="30">
        <v>349</v>
      </c>
      <c r="F351" s="28">
        <f>10^(3.998-0.0101*Dados!I351-0.0152*Dados!J351-1.163*Dados!K351)</f>
        <v>13.423167205356364</v>
      </c>
    </row>
    <row r="352" spans="2:6" x14ac:dyDescent="0.25">
      <c r="B352" s="30">
        <v>350</v>
      </c>
      <c r="C352" s="31">
        <f>10^(2.039-0.00874*Dados!I352-0.00723*Dados!J352)</f>
        <v>25.143052372311494</v>
      </c>
      <c r="E352" s="30">
        <v>350</v>
      </c>
      <c r="F352" s="28">
        <f>10^(3.998-0.0101*Dados!I352-0.0152*Dados!J352-1.163*Dados!K352)</f>
        <v>8.6550384187410891</v>
      </c>
    </row>
    <row r="353" spans="2:6" x14ac:dyDescent="0.25">
      <c r="B353" s="30">
        <v>351</v>
      </c>
      <c r="C353" s="31">
        <f>10^(2.039-0.00874*Dados!I353-0.00723*Dados!J353)</f>
        <v>23.668732425891609</v>
      </c>
      <c r="E353" s="30">
        <v>351</v>
      </c>
      <c r="F353" s="28">
        <f>10^(3.998-0.0101*Dados!I353-0.0152*Dados!J353-1.163*Dados!K353)</f>
        <v>8.7338956742452751</v>
      </c>
    </row>
    <row r="354" spans="2:6" x14ac:dyDescent="0.25">
      <c r="B354" s="30">
        <v>352</v>
      </c>
      <c r="C354" s="31">
        <f>10^(2.039-0.00874*Dados!I354-0.00723*Dados!J354)</f>
        <v>23.051224477790857</v>
      </c>
      <c r="E354" s="30">
        <v>352</v>
      </c>
      <c r="F354" s="28">
        <f>10^(3.998-0.0101*Dados!I354-0.0152*Dados!J354-1.163*Dados!K354)</f>
        <v>7.4305335598041076</v>
      </c>
    </row>
    <row r="355" spans="2:6" x14ac:dyDescent="0.25">
      <c r="B355" s="30">
        <v>353</v>
      </c>
      <c r="C355" s="31">
        <f>10^(2.039-0.00874*Dados!I355-0.00723*Dados!J355)</f>
        <v>35.646754898554804</v>
      </c>
      <c r="E355" s="30">
        <v>353</v>
      </c>
      <c r="F355" s="28">
        <f>10^(3.998-0.0101*Dados!I355-0.0152*Dados!J355-1.163*Dados!K355)</f>
        <v>40.874927936763648</v>
      </c>
    </row>
    <row r="356" spans="2:6" x14ac:dyDescent="0.25">
      <c r="B356" s="30">
        <v>354</v>
      </c>
      <c r="C356" s="31">
        <f>10^(2.039-0.00874*Dados!I356-0.00723*Dados!J356)</f>
        <v>29.481936062304758</v>
      </c>
      <c r="E356" s="30">
        <v>354</v>
      </c>
      <c r="F356" s="28">
        <f>10^(3.998-0.0101*Dados!I356-0.0152*Dados!J356-1.163*Dados!K356)</f>
        <v>12.928257689771273</v>
      </c>
    </row>
    <row r="357" spans="2:6" x14ac:dyDescent="0.25">
      <c r="B357" s="30">
        <v>355</v>
      </c>
      <c r="C357" s="31">
        <f>10^(2.039-0.00874*Dados!I357-0.00723*Dados!J357)</f>
        <v>28.435181194118098</v>
      </c>
      <c r="E357" s="30">
        <v>355</v>
      </c>
      <c r="F357" s="28">
        <f>10^(3.998-0.0101*Dados!I357-0.0152*Dados!J357-1.163*Dados!K357)</f>
        <v>24.054869214456875</v>
      </c>
    </row>
    <row r="358" spans="2:6" x14ac:dyDescent="0.25">
      <c r="B358" s="30">
        <v>356</v>
      </c>
      <c r="C358" s="31">
        <f>10^(2.039-0.00874*Dados!I358-0.00723*Dados!J358)</f>
        <v>24.235779914089694</v>
      </c>
      <c r="E358" s="30">
        <v>356</v>
      </c>
      <c r="F358" s="28">
        <f>10^(3.998-0.0101*Dados!I358-0.0152*Dados!J358-1.163*Dados!K358)</f>
        <v>5.1094599579227147</v>
      </c>
    </row>
    <row r="359" spans="2:6" x14ac:dyDescent="0.25">
      <c r="B359" s="30">
        <v>357</v>
      </c>
      <c r="C359" s="31">
        <f>10^(2.039-0.00874*Dados!I359-0.00723*Dados!J359)</f>
        <v>24.792367450107417</v>
      </c>
      <c r="E359" s="30">
        <v>357</v>
      </c>
      <c r="F359" s="28">
        <f>10^(3.998-0.0101*Dados!I359-0.0152*Dados!J359-1.163*Dados!K359)</f>
        <v>7.2879771110126867</v>
      </c>
    </row>
    <row r="360" spans="2:6" x14ac:dyDescent="0.25">
      <c r="B360" s="30">
        <v>358</v>
      </c>
      <c r="C360" s="31">
        <f>10^(2.039-0.00874*Dados!I360-0.00723*Dados!J360)</f>
        <v>26.461593891717818</v>
      </c>
      <c r="E360" s="30">
        <v>358</v>
      </c>
      <c r="F360" s="28">
        <f>10^(3.998-0.0101*Dados!I360-0.0152*Dados!J360-1.163*Dados!K360)</f>
        <v>12.062213189682328</v>
      </c>
    </row>
    <row r="361" spans="2:6" x14ac:dyDescent="0.25">
      <c r="B361" s="30">
        <v>359</v>
      </c>
      <c r="C361" s="31">
        <f>10^(2.039-0.00874*Dados!I361-0.00723*Dados!J361)</f>
        <v>25.490890065734572</v>
      </c>
      <c r="E361" s="30">
        <v>359</v>
      </c>
      <c r="F361" s="28">
        <f>10^(3.998-0.0101*Dados!I361-0.0152*Dados!J361-1.163*Dados!K361)</f>
        <v>10.882432949587573</v>
      </c>
    </row>
    <row r="362" spans="2:6" x14ac:dyDescent="0.25">
      <c r="B362" s="30">
        <v>360</v>
      </c>
      <c r="C362" s="31">
        <f>10^(2.039-0.00874*Dados!I362-0.00723*Dados!J362)</f>
        <v>24.961460936242073</v>
      </c>
      <c r="E362" s="30">
        <v>360</v>
      </c>
      <c r="F362" s="28">
        <f>10^(3.998-0.0101*Dados!I362-0.0152*Dados!J362-1.163*Dados!K362)</f>
        <v>17.306808968966127</v>
      </c>
    </row>
    <row r="363" spans="2:6" x14ac:dyDescent="0.25">
      <c r="B363" s="30">
        <v>361</v>
      </c>
      <c r="C363" s="31">
        <f>10^(2.039-0.00874*Dados!I363-0.00723*Dados!J363)</f>
        <v>26.642317528186759</v>
      </c>
      <c r="E363" s="30">
        <v>361</v>
      </c>
      <c r="F363" s="28">
        <f>10^(3.998-0.0101*Dados!I363-0.0152*Dados!J363-1.163*Dados!K363)</f>
        <v>9.6125364583237705</v>
      </c>
    </row>
    <row r="364" spans="2:6" x14ac:dyDescent="0.25">
      <c r="B364" s="30">
        <v>362</v>
      </c>
      <c r="C364" s="31">
        <f>10^(2.039-0.00874*Dados!I364-0.00723*Dados!J364)</f>
        <v>27.755943834297881</v>
      </c>
      <c r="E364" s="30">
        <v>362</v>
      </c>
      <c r="F364" s="28">
        <f>10^(3.998-0.0101*Dados!I364-0.0152*Dados!J364-1.163*Dados!K364)</f>
        <v>70.359703395285322</v>
      </c>
    </row>
    <row r="365" spans="2:6" x14ac:dyDescent="0.25">
      <c r="B365" s="30">
        <v>363</v>
      </c>
      <c r="C365" s="31">
        <f>10^(2.039-0.00874*Dados!I365-0.00723*Dados!J365)</f>
        <v>24.057915768443596</v>
      </c>
      <c r="E365" s="30">
        <v>363</v>
      </c>
      <c r="F365" s="28">
        <f>10^(3.998-0.0101*Dados!I365-0.0152*Dados!J365-1.163*Dados!K365)</f>
        <v>23.1351862424807</v>
      </c>
    </row>
    <row r="366" spans="2:6" x14ac:dyDescent="0.25">
      <c r="B366" s="30">
        <v>364</v>
      </c>
      <c r="C366" s="31">
        <f>10^(2.039-0.00874*Dados!I366-0.00723*Dados!J366)</f>
        <v>28.392066268126062</v>
      </c>
      <c r="E366" s="30">
        <v>364</v>
      </c>
      <c r="F366" s="28">
        <f>10^(3.998-0.0101*Dados!I366-0.0152*Dados!J366-1.163*Dados!K366)</f>
        <v>22.120452157189902</v>
      </c>
    </row>
    <row r="367" spans="2:6" x14ac:dyDescent="0.25">
      <c r="B367" s="30">
        <v>365</v>
      </c>
      <c r="C367" s="31">
        <f>10^(2.039-0.00874*Dados!I367-0.00723*Dados!J367)</f>
        <v>27.043070478652272</v>
      </c>
      <c r="E367" s="30">
        <v>365</v>
      </c>
      <c r="F367" s="28">
        <f>10^(3.998-0.0101*Dados!I367-0.0152*Dados!J367-1.163*Dados!K367)</f>
        <v>13.732607266001095</v>
      </c>
    </row>
    <row r="368" spans="2:6" x14ac:dyDescent="0.25">
      <c r="B368" s="30">
        <v>366</v>
      </c>
      <c r="C368" s="31">
        <f>10^(2.039-0.00874*Dados!I368-0.00723*Dados!J368)</f>
        <v>28.97930728638342</v>
      </c>
      <c r="E368" s="30">
        <v>366</v>
      </c>
      <c r="F368" s="28">
        <f>10^(3.998-0.0101*Dados!I368-0.0152*Dados!J368-1.163*Dados!K368)</f>
        <v>23.042256141269288</v>
      </c>
    </row>
    <row r="369" spans="2:6" x14ac:dyDescent="0.25">
      <c r="B369" s="30">
        <v>367</v>
      </c>
      <c r="C369" s="31">
        <f>10^(2.039-0.00874*Dados!I369-0.00723*Dados!J369)</f>
        <v>28.091827957043535</v>
      </c>
      <c r="E369" s="30">
        <v>367</v>
      </c>
      <c r="F369" s="28">
        <f>10^(3.998-0.0101*Dados!I369-0.0152*Dados!J369-1.163*Dados!K369)</f>
        <v>14.668442406718954</v>
      </c>
    </row>
    <row r="370" spans="2:6" x14ac:dyDescent="0.25">
      <c r="B370" s="30">
        <v>368</v>
      </c>
      <c r="C370" s="31">
        <f>10^(2.039-0.00874*Dados!I370-0.00723*Dados!J370)</f>
        <v>31.923389734659011</v>
      </c>
      <c r="E370" s="30">
        <v>368</v>
      </c>
      <c r="F370" s="28">
        <f>10^(3.998-0.0101*Dados!I370-0.0152*Dados!J370-1.163*Dados!K370)</f>
        <v>24.46442428072185</v>
      </c>
    </row>
    <row r="371" spans="2:6" x14ac:dyDescent="0.25">
      <c r="B371" s="30">
        <v>369</v>
      </c>
      <c r="C371" s="31">
        <f>10^(2.039-0.00874*Dados!I371-0.00723*Dados!J371)</f>
        <v>32.252694282565791</v>
      </c>
      <c r="E371" s="30">
        <v>369</v>
      </c>
      <c r="F371" s="28">
        <f>10^(3.998-0.0101*Dados!I371-0.0152*Dados!J371-1.163*Dados!K371)</f>
        <v>51.629628488009168</v>
      </c>
    </row>
    <row r="372" spans="2:6" x14ac:dyDescent="0.25">
      <c r="B372" s="30">
        <v>370</v>
      </c>
      <c r="C372" s="31">
        <f>10^(2.039-0.00874*Dados!I372-0.00723*Dados!J372)</f>
        <v>84.631102788284721</v>
      </c>
      <c r="E372" s="30">
        <v>370</v>
      </c>
      <c r="F372" s="28">
        <f>10^(3.998-0.0101*Dados!I372-0.0152*Dados!J372-1.163*Dados!K372)</f>
        <v>86.725649297152714</v>
      </c>
    </row>
    <row r="373" spans="2:6" x14ac:dyDescent="0.25">
      <c r="B373" s="30">
        <v>371</v>
      </c>
      <c r="C373" s="31">
        <f>10^(2.039-0.00874*Dados!I373-0.00723*Dados!J373)</f>
        <v>84.631102788284721</v>
      </c>
      <c r="E373" s="30">
        <v>371</v>
      </c>
      <c r="F373" s="28">
        <f>10^(3.998-0.0101*Dados!I373-0.0152*Dados!J373-1.163*Dados!K373)</f>
        <v>117.23747870976057</v>
      </c>
    </row>
    <row r="374" spans="2:6" x14ac:dyDescent="0.25">
      <c r="B374" s="30">
        <v>372</v>
      </c>
      <c r="C374" s="31">
        <f>10^(2.039-0.00874*Dados!I374-0.00723*Dados!J374)</f>
        <v>86.051808089859435</v>
      </c>
      <c r="E374" s="30">
        <v>372</v>
      </c>
      <c r="F374" s="28">
        <f>10^(3.998-0.0101*Dados!I374-0.0152*Dados!J374-1.163*Dados!K374)</f>
        <v>85.245028441456256</v>
      </c>
    </row>
    <row r="375" spans="2:6" x14ac:dyDescent="0.25">
      <c r="B375" s="30">
        <v>373</v>
      </c>
      <c r="C375" s="31">
        <f>10^(2.039-0.00874*Dados!I375-0.00723*Dados!J375)</f>
        <v>87.496362821341407</v>
      </c>
      <c r="E375" s="30">
        <v>373</v>
      </c>
      <c r="F375" s="28">
        <f>10^(3.998-0.0101*Dados!I375-0.0152*Dados!J375-1.163*Dados!K375)</f>
        <v>82.066456182889013</v>
      </c>
    </row>
    <row r="376" spans="2:6" x14ac:dyDescent="0.25">
      <c r="B376" s="30">
        <v>374</v>
      </c>
      <c r="C376" s="31">
        <f>10^(2.039-0.00874*Dados!I376-0.00723*Dados!J376)</f>
        <v>86.051808089859435</v>
      </c>
      <c r="E376" s="30">
        <v>374</v>
      </c>
      <c r="F376" s="28">
        <f>10^(3.998-0.0101*Dados!I376-0.0152*Dados!J376-1.163*Dados!K376)</f>
        <v>93.428322244873002</v>
      </c>
    </row>
    <row r="377" spans="2:6" x14ac:dyDescent="0.25">
      <c r="B377" s="30">
        <v>375</v>
      </c>
      <c r="C377" s="31">
        <f>10^(2.039-0.00874*Dados!I377-0.00723*Dados!J377)</f>
        <v>86.051808089859435</v>
      </c>
      <c r="E377" s="30">
        <v>375</v>
      </c>
      <c r="F377" s="28">
        <f>10^(3.998-0.0101*Dados!I377-0.0152*Dados!J377-1.163*Dados!K377)</f>
        <v>93.260843688243497</v>
      </c>
    </row>
    <row r="378" spans="2:6" x14ac:dyDescent="0.25">
      <c r="B378" s="30">
        <v>376</v>
      </c>
      <c r="C378" s="31">
        <f>10^(2.039-0.00874*Dados!I378-0.00723*Dados!J378)</f>
        <v>84.92586910503627</v>
      </c>
      <c r="E378" s="30">
        <v>376</v>
      </c>
      <c r="F378" s="28">
        <f>10^(3.998-0.0101*Dados!I378-0.0152*Dados!J378-1.163*Dados!K378)</f>
        <v>73.849892931016484</v>
      </c>
    </row>
    <row r="379" spans="2:6" x14ac:dyDescent="0.25">
      <c r="B379" s="30">
        <v>377</v>
      </c>
      <c r="C379" s="31">
        <f>10^(2.039-0.00874*Dados!I379-0.00723*Dados!J379)</f>
        <v>83.233853165314798</v>
      </c>
      <c r="E379" s="30">
        <v>377</v>
      </c>
      <c r="F379" s="28">
        <f>10^(3.998-0.0101*Dados!I379-0.0152*Dados!J379-1.163*Dados!K379)</f>
        <v>74.235657602634049</v>
      </c>
    </row>
    <row r="380" spans="2:6" x14ac:dyDescent="0.25">
      <c r="B380" s="30">
        <v>378</v>
      </c>
      <c r="C380" s="31">
        <f>10^(2.039-0.00874*Dados!I380-0.00723*Dados!J380)</f>
        <v>87.80110870965305</v>
      </c>
      <c r="E380" s="30">
        <v>378</v>
      </c>
      <c r="F380" s="28">
        <f>10^(3.998-0.0101*Dados!I380-0.0152*Dados!J380-1.163*Dados!K380)</f>
        <v>61.740140008571963</v>
      </c>
    </row>
    <row r="381" spans="2:6" x14ac:dyDescent="0.25">
      <c r="B381" s="30">
        <v>379</v>
      </c>
      <c r="C381" s="31">
        <f>10^(2.039-0.00874*Dados!I381-0.00723*Dados!J381)</f>
        <v>87.496362821341407</v>
      </c>
      <c r="E381" s="30">
        <v>379</v>
      </c>
      <c r="F381" s="28">
        <f>10^(3.998-0.0101*Dados!I381-0.0152*Dados!J381-1.163*Dados!K381)</f>
        <v>76.9167773625732</v>
      </c>
    </row>
    <row r="382" spans="2:6" x14ac:dyDescent="0.25">
      <c r="B382" s="30">
        <v>380</v>
      </c>
      <c r="C382" s="31">
        <f>10^(2.039-0.00874*Dados!I382-0.00723*Dados!J382)</f>
        <v>84.92586910503627</v>
      </c>
      <c r="E382" s="30">
        <v>380</v>
      </c>
      <c r="F382" s="28">
        <f>10^(3.998-0.0101*Dados!I382-0.0152*Dados!J382-1.163*Dados!K382)</f>
        <v>87.86285478831806</v>
      </c>
    </row>
    <row r="383" spans="2:6" x14ac:dyDescent="0.25">
      <c r="B383" s="30">
        <v>381</v>
      </c>
      <c r="C383" s="31">
        <f>10^(2.039-0.00874*Dados!I383-0.00723*Dados!J383)</f>
        <v>86.051808089859435</v>
      </c>
      <c r="E383" s="30">
        <v>381</v>
      </c>
      <c r="F383" s="28">
        <f>10^(3.998-0.0101*Dados!I383-0.0152*Dados!J383-1.163*Dados!K383)</f>
        <v>89.740199361299844</v>
      </c>
    </row>
    <row r="384" spans="2:6" x14ac:dyDescent="0.25">
      <c r="B384" s="30">
        <v>382</v>
      </c>
      <c r="C384" s="31">
        <f>10^(2.039-0.00874*Dados!I384-0.00723*Dados!J384)</f>
        <v>77.87176171951873</v>
      </c>
      <c r="E384" s="30">
        <v>382</v>
      </c>
      <c r="F384" s="28">
        <f>10^(3.998-0.0101*Dados!I384-0.0152*Dados!J384-1.163*Dados!K384)</f>
        <v>77.191723898423547</v>
      </c>
    </row>
    <row r="385" spans="2:6" x14ac:dyDescent="0.25">
      <c r="B385" s="30">
        <v>383</v>
      </c>
      <c r="C385" s="31">
        <f>10^(2.039-0.00874*Dados!I385-0.00723*Dados!J385)</f>
        <v>81.859671970435414</v>
      </c>
      <c r="E385" s="30">
        <v>383</v>
      </c>
      <c r="F385" s="28">
        <f>10^(3.998-0.0101*Dados!I385-0.0152*Dados!J385-1.163*Dados!K385)</f>
        <v>72.123339916701823</v>
      </c>
    </row>
    <row r="386" spans="2:6" x14ac:dyDescent="0.25">
      <c r="B386" s="30">
        <v>384</v>
      </c>
      <c r="C386" s="31">
        <f>10^(2.039-0.00874*Dados!I386-0.00723*Dados!J386)</f>
        <v>81.859671970435414</v>
      </c>
      <c r="E386" s="30">
        <v>384</v>
      </c>
      <c r="F386" s="28">
        <f>10^(3.998-0.0101*Dados!I386-0.0152*Dados!J386-1.163*Dados!K386)</f>
        <v>66.943673443855076</v>
      </c>
    </row>
    <row r="387" spans="2:6" x14ac:dyDescent="0.25">
      <c r="B387" s="30">
        <v>385</v>
      </c>
      <c r="C387" s="31">
        <f>10^(2.039-0.00874*Dados!I387-0.00723*Dados!J387)</f>
        <v>84.631102788284721</v>
      </c>
      <c r="E387" s="30">
        <v>385</v>
      </c>
      <c r="F387" s="28">
        <f>10^(3.998-0.0101*Dados!I387-0.0152*Dados!J387-1.163*Dados!K387)</f>
        <v>64.627189532232464</v>
      </c>
    </row>
    <row r="388" spans="2:6" x14ac:dyDescent="0.25">
      <c r="B388" s="30">
        <v>386</v>
      </c>
      <c r="C388" s="31">
        <f>10^(2.039-0.00874*Dados!I388-0.00723*Dados!J388)</f>
        <v>86.051808089859435</v>
      </c>
      <c r="E388" s="30">
        <v>386</v>
      </c>
      <c r="F388" s="28">
        <f>10^(3.998-0.0101*Dados!I388-0.0152*Dados!J388-1.163*Dados!K388)</f>
        <v>85.507953028452178</v>
      </c>
    </row>
    <row r="389" spans="2:6" x14ac:dyDescent="0.25">
      <c r="B389" s="30">
        <v>387</v>
      </c>
      <c r="C389" s="31">
        <f>10^(2.039-0.00874*Dados!I389-0.00723*Dados!J389)</f>
        <v>86.351522659146326</v>
      </c>
      <c r="E389" s="30">
        <v>387</v>
      </c>
      <c r="F389" s="28">
        <f>10^(3.998-0.0101*Dados!I389-0.0152*Dados!J389-1.163*Dados!K389)</f>
        <v>74.4973526734329</v>
      </c>
    </row>
    <row r="390" spans="2:6" x14ac:dyDescent="0.25">
      <c r="B390" s="30">
        <v>388</v>
      </c>
      <c r="C390" s="31">
        <f>10^(2.039-0.00874*Dados!I390-0.00723*Dados!J390)</f>
        <v>71.652277632153641</v>
      </c>
      <c r="E390" s="30">
        <v>388</v>
      </c>
      <c r="F390" s="28">
        <f>10^(3.998-0.0101*Dados!I390-0.0152*Dados!J390-1.163*Dados!K390)</f>
        <v>65.774912648636473</v>
      </c>
    </row>
    <row r="391" spans="2:6" x14ac:dyDescent="0.25">
      <c r="B391" s="30">
        <v>389</v>
      </c>
      <c r="C391" s="31">
        <f>10^(2.039-0.00874*Dados!I391-0.00723*Dados!J391)</f>
        <v>81.859671970435414</v>
      </c>
      <c r="E391" s="30">
        <v>389</v>
      </c>
      <c r="F391" s="28">
        <f>10^(3.998-0.0101*Dados!I391-0.0152*Dados!J391-1.163*Dados!K391)</f>
        <v>59.711924691522434</v>
      </c>
    </row>
    <row r="392" spans="2:6" x14ac:dyDescent="0.25">
      <c r="B392" s="30">
        <v>390</v>
      </c>
      <c r="C392" s="31">
        <f>10^(2.039-0.00874*Dados!I392-0.00723*Dados!J392)</f>
        <v>77.87176171951873</v>
      </c>
      <c r="E392" s="30">
        <v>390</v>
      </c>
      <c r="F392" s="28">
        <f>10^(3.998-0.0101*Dados!I392-0.0152*Dados!J392-1.163*Dados!K392)</f>
        <v>63.851659642877166</v>
      </c>
    </row>
    <row r="393" spans="2:6" x14ac:dyDescent="0.25">
      <c r="B393" s="30">
        <v>391</v>
      </c>
      <c r="C393" s="31">
        <f>10^(2.039-0.00874*Dados!I393-0.00723*Dados!J393)</f>
        <v>81.859671970435414</v>
      </c>
      <c r="E393" s="30">
        <v>391</v>
      </c>
      <c r="F393" s="28">
        <f>10^(3.998-0.0101*Dados!I393-0.0152*Dados!J393-1.163*Dados!K393)</f>
        <v>74.838526833714994</v>
      </c>
    </row>
    <row r="394" spans="2:6" x14ac:dyDescent="0.25">
      <c r="B394" s="30">
        <v>392</v>
      </c>
      <c r="C394" s="31">
        <f>10^(2.039-0.00874*Dados!I394-0.00723*Dados!J394)</f>
        <v>83.233853165314798</v>
      </c>
      <c r="E394" s="30">
        <v>392</v>
      </c>
      <c r="F394" s="28">
        <f>10^(3.998-0.0101*Dados!I394-0.0152*Dados!J394-1.163*Dados!K394)</f>
        <v>79.053262897412665</v>
      </c>
    </row>
    <row r="395" spans="2:6" x14ac:dyDescent="0.25">
      <c r="B395" s="30">
        <v>393</v>
      </c>
      <c r="C395" s="31">
        <f>10^(2.039-0.00874*Dados!I395-0.00723*Dados!J395)</f>
        <v>84.631102788284721</v>
      </c>
      <c r="E395" s="30">
        <v>393</v>
      </c>
      <c r="F395" s="28">
        <f>10^(3.998-0.0101*Dados!I395-0.0152*Dados!J395-1.163*Dados!K395)</f>
        <v>97.072950486394788</v>
      </c>
    </row>
    <row r="396" spans="2:6" x14ac:dyDescent="0.25">
      <c r="B396" s="30">
        <v>394</v>
      </c>
      <c r="C396" s="31">
        <f>10^(2.039-0.00874*Dados!I396-0.00723*Dados!J396)</f>
        <v>21.525109292645265</v>
      </c>
      <c r="E396" s="30">
        <v>394</v>
      </c>
      <c r="F396" s="28">
        <f>10^(3.998-0.0101*Dados!I396-0.0152*Dados!J396-1.163*Dados!K396)</f>
        <v>46.23330812841543</v>
      </c>
    </row>
    <row r="397" spans="2:6" x14ac:dyDescent="0.25">
      <c r="B397" s="30">
        <v>395</v>
      </c>
      <c r="C397" s="31">
        <f>10^(2.039-0.00874*Dados!I397-0.00723*Dados!J397)</f>
        <v>22.374009169935952</v>
      </c>
      <c r="E397" s="30">
        <v>395</v>
      </c>
      <c r="F397" s="28">
        <f>10^(3.998-0.0101*Dados!I397-0.0152*Dados!J397-1.163*Dados!K397)</f>
        <v>20.334316670641744</v>
      </c>
    </row>
    <row r="398" spans="2:6" x14ac:dyDescent="0.25">
      <c r="B398" s="30">
        <v>396</v>
      </c>
      <c r="C398" s="31">
        <f>10^(2.039-0.00874*Dados!I398-0.00723*Dados!J398)</f>
        <v>19.803890888122428</v>
      </c>
      <c r="E398" s="30">
        <v>396</v>
      </c>
      <c r="F398" s="28">
        <f>10^(3.998-0.0101*Dados!I398-0.0152*Dados!J398-1.163*Dados!K398)</f>
        <v>49.503590175936694</v>
      </c>
    </row>
    <row r="399" spans="2:6" x14ac:dyDescent="0.25">
      <c r="B399" s="30">
        <v>397</v>
      </c>
      <c r="C399" s="31">
        <f>10^(2.039-0.00874*Dados!I399-0.00723*Dados!J399)</f>
        <v>22.211770817392058</v>
      </c>
      <c r="E399" s="30">
        <v>397</v>
      </c>
      <c r="F399" s="28">
        <f>10^(3.998-0.0101*Dados!I399-0.0152*Dados!J399-1.163*Dados!K399)</f>
        <v>35.607918106013493</v>
      </c>
    </row>
    <row r="400" spans="2:6" x14ac:dyDescent="0.25">
      <c r="B400" s="30">
        <v>398</v>
      </c>
      <c r="C400" s="31">
        <f>10^(2.039-0.00874*Dados!I400-0.00723*Dados!J400)</f>
        <v>22.431796382225187</v>
      </c>
      <c r="E400" s="30">
        <v>398</v>
      </c>
      <c r="F400" s="28">
        <f>10^(3.998-0.0101*Dados!I400-0.0152*Dados!J400-1.163*Dados!K400)</f>
        <v>54.777034295059501</v>
      </c>
    </row>
    <row r="401" spans="2:6" x14ac:dyDescent="0.25">
      <c r="B401" s="30">
        <v>399</v>
      </c>
      <c r="C401" s="31">
        <f>10^(2.039-0.00874*Dados!I401-0.00723*Dados!J401)</f>
        <v>24.162622085667653</v>
      </c>
      <c r="E401" s="30">
        <v>399</v>
      </c>
      <c r="F401" s="28">
        <f>10^(3.998-0.0101*Dados!I401-0.0152*Dados!J401-1.163*Dados!K401)</f>
        <v>32.373430646620228</v>
      </c>
    </row>
    <row r="402" spans="2:6" x14ac:dyDescent="0.25">
      <c r="B402" s="30">
        <v>400</v>
      </c>
      <c r="C402" s="31">
        <f>10^(2.039-0.00874*Dados!I402-0.00723*Dados!J402)</f>
        <v>21.92947565629898</v>
      </c>
      <c r="E402" s="30">
        <v>400</v>
      </c>
      <c r="F402" s="28">
        <f>10^(3.998-0.0101*Dados!I402-0.0152*Dados!J402-1.163*Dados!K402)</f>
        <v>26.761082209860668</v>
      </c>
    </row>
    <row r="403" spans="2:6" x14ac:dyDescent="0.25">
      <c r="B403" s="30">
        <v>401</v>
      </c>
      <c r="C403" s="31">
        <f>10^(2.039-0.00874*Dados!I403-0.00723*Dados!J403)</f>
        <v>20.07284082722224</v>
      </c>
      <c r="E403" s="30">
        <v>401</v>
      </c>
      <c r="F403" s="28">
        <f>10^(3.998-0.0101*Dados!I403-0.0152*Dados!J403-1.163*Dados!K403)</f>
        <v>21.182862090152636</v>
      </c>
    </row>
    <row r="404" spans="2:6" x14ac:dyDescent="0.25">
      <c r="B404" s="30">
        <v>402</v>
      </c>
      <c r="C404" s="31">
        <f>10^(2.039-0.00874*Dados!I404-0.00723*Dados!J404)</f>
        <v>21.641083015498388</v>
      </c>
      <c r="E404" s="30">
        <v>402</v>
      </c>
      <c r="F404" s="28">
        <f>10^(3.998-0.0101*Dados!I404-0.0152*Dados!J404-1.163*Dados!K404)</f>
        <v>39.978662346390607</v>
      </c>
    </row>
    <row r="405" spans="2:6" x14ac:dyDescent="0.25">
      <c r="B405" s="30">
        <v>403</v>
      </c>
      <c r="C405" s="31">
        <f>10^(2.039-0.00874*Dados!I405-0.00723*Dados!J405)</f>
        <v>23.281276798765372</v>
      </c>
      <c r="E405" s="30">
        <v>403</v>
      </c>
      <c r="F405" s="28">
        <f>10^(3.998-0.0101*Dados!I405-0.0152*Dados!J405-1.163*Dados!K405)</f>
        <v>34.717904518347275</v>
      </c>
    </row>
    <row r="406" spans="2:6" x14ac:dyDescent="0.25">
      <c r="B406" s="30">
        <v>404</v>
      </c>
      <c r="C406" s="31">
        <f>10^(2.039-0.00874*Dados!I406-0.00723*Dados!J406)</f>
        <v>22.519403249088011</v>
      </c>
      <c r="E406" s="30">
        <v>404</v>
      </c>
      <c r="F406" s="28">
        <f>10^(3.998-0.0101*Dados!I406-0.0152*Dados!J406-1.163*Dados!K406)</f>
        <v>31.467883867564492</v>
      </c>
    </row>
    <row r="407" spans="2:6" x14ac:dyDescent="0.25">
      <c r="B407" s="30">
        <v>405</v>
      </c>
      <c r="C407" s="31">
        <f>10^(2.039-0.00874*Dados!I407-0.00723*Dados!J407)</f>
        <v>24.127464104711624</v>
      </c>
      <c r="E407" s="30">
        <v>405</v>
      </c>
      <c r="F407" s="28">
        <f>10^(3.998-0.0101*Dados!I407-0.0152*Dados!J407-1.163*Dados!K407)</f>
        <v>34.488689407852718</v>
      </c>
    </row>
    <row r="408" spans="2:6" x14ac:dyDescent="0.25">
      <c r="B408" s="30">
        <v>406</v>
      </c>
      <c r="C408" s="31">
        <f>10^(2.039-0.00874*Dados!I408-0.00723*Dados!J408)</f>
        <v>17.733853750236591</v>
      </c>
      <c r="E408" s="30">
        <v>406</v>
      </c>
      <c r="F408" s="28">
        <f>10^(3.998-0.0101*Dados!I408-0.0152*Dados!J408-1.163*Dados!K408)</f>
        <v>24.991147889376258</v>
      </c>
    </row>
    <row r="409" spans="2:6" x14ac:dyDescent="0.25">
      <c r="B409" s="30">
        <v>407</v>
      </c>
      <c r="C409" s="31">
        <f>10^(2.039-0.00874*Dados!I409-0.00723*Dados!J409)</f>
        <v>22.140746972000642</v>
      </c>
      <c r="E409" s="30">
        <v>407</v>
      </c>
      <c r="F409" s="28">
        <f>10^(3.998-0.0101*Dados!I409-0.0152*Dados!J409-1.163*Dados!K409)</f>
        <v>28.429371889758333</v>
      </c>
    </row>
    <row r="410" spans="2:6" x14ac:dyDescent="0.25">
      <c r="B410" s="30">
        <v>408</v>
      </c>
      <c r="C410" s="31">
        <f>10^(2.039-0.00874*Dados!I410-0.00723*Dados!J410)</f>
        <v>26.408156046245075</v>
      </c>
      <c r="E410" s="30">
        <v>408</v>
      </c>
      <c r="F410" s="28">
        <f>10^(3.998-0.0101*Dados!I410-0.0152*Dados!J410-1.163*Dados!K410)</f>
        <v>39.522660424317522</v>
      </c>
    </row>
    <row r="411" spans="2:6" x14ac:dyDescent="0.25">
      <c r="B411" s="30">
        <v>409</v>
      </c>
      <c r="C411" s="31">
        <f>10^(2.039-0.00874*Dados!I411-0.00723*Dados!J411)</f>
        <v>23.202874076834448</v>
      </c>
      <c r="E411" s="30">
        <v>409</v>
      </c>
      <c r="F411" s="28">
        <f>10^(3.998-0.0101*Dados!I411-0.0152*Dados!J411-1.163*Dados!K411)</f>
        <v>42.437615717789214</v>
      </c>
    </row>
    <row r="412" spans="2:6" x14ac:dyDescent="0.25">
      <c r="B412" s="30">
        <v>410</v>
      </c>
      <c r="C412" s="31">
        <f>10^(2.039-0.00874*Dados!I412-0.00723*Dados!J412)</f>
        <v>21.853531184453104</v>
      </c>
      <c r="E412" s="30">
        <v>410</v>
      </c>
      <c r="F412" s="28">
        <f>10^(3.998-0.0101*Dados!I412-0.0152*Dados!J412-1.163*Dados!K412)</f>
        <v>24.229161005545844</v>
      </c>
    </row>
    <row r="413" spans="2:6" x14ac:dyDescent="0.25">
      <c r="B413" s="30">
        <v>411</v>
      </c>
      <c r="C413" s="31">
        <f>10^(2.039-0.00874*Dados!I413-0.00723*Dados!J413)</f>
        <v>19.671264648536255</v>
      </c>
      <c r="E413" s="30">
        <v>411</v>
      </c>
      <c r="F413" s="28">
        <f>10^(3.998-0.0101*Dados!I413-0.0152*Dados!J413-1.163*Dados!K413)</f>
        <v>15.880191989246693</v>
      </c>
    </row>
    <row r="414" spans="2:6" x14ac:dyDescent="0.25">
      <c r="B414" s="30">
        <v>412</v>
      </c>
      <c r="C414" s="31">
        <f>10^(2.039-0.00874*Dados!I414-0.00723*Dados!J414)</f>
        <v>18.908351445407604</v>
      </c>
      <c r="E414" s="30">
        <v>412</v>
      </c>
      <c r="F414" s="28">
        <f>10^(3.998-0.0101*Dados!I414-0.0152*Dados!J414-1.163*Dados!K414)</f>
        <v>43.774930876938384</v>
      </c>
    </row>
    <row r="415" spans="2:6" x14ac:dyDescent="0.25">
      <c r="B415" s="30">
        <v>413</v>
      </c>
      <c r="C415" s="31">
        <f>10^(2.039-0.00874*Dados!I415-0.00723*Dados!J415)</f>
        <v>20.811808009735255</v>
      </c>
      <c r="E415" s="30">
        <v>413</v>
      </c>
      <c r="F415" s="28">
        <f>10^(3.998-0.0101*Dados!I415-0.0152*Dados!J415-1.163*Dados!K415)</f>
        <v>39.749164393946813</v>
      </c>
    </row>
    <row r="416" spans="2:6" x14ac:dyDescent="0.25">
      <c r="B416" s="30">
        <v>414</v>
      </c>
      <c r="C416" s="31">
        <f>10^(2.039-0.00874*Dados!I416-0.00723*Dados!J416)</f>
        <v>21.674722458017413</v>
      </c>
      <c r="E416" s="30">
        <v>414</v>
      </c>
      <c r="F416" s="28">
        <f>10^(3.998-0.0101*Dados!I416-0.0152*Dados!J416-1.163*Dados!K416)</f>
        <v>49.843826163209094</v>
      </c>
    </row>
    <row r="417" spans="2:6" x14ac:dyDescent="0.25">
      <c r="B417" s="30">
        <v>415</v>
      </c>
      <c r="C417" s="31">
        <f>10^(2.039-0.00874*Dados!I417-0.00723*Dados!J417)</f>
        <v>19.974054947746072</v>
      </c>
      <c r="E417" s="30">
        <v>415</v>
      </c>
      <c r="F417" s="28">
        <f>10^(3.998-0.0101*Dados!I417-0.0152*Dados!J417-1.163*Dados!K417)</f>
        <v>36.629505790136996</v>
      </c>
    </row>
    <row r="418" spans="2:6" x14ac:dyDescent="0.25">
      <c r="B418" s="30">
        <v>416</v>
      </c>
      <c r="C418" s="31">
        <f>10^(2.039-0.00874*Dados!I418-0.00723*Dados!J418)</f>
        <v>21.936965010508128</v>
      </c>
      <c r="E418" s="30">
        <v>416</v>
      </c>
      <c r="F418" s="28">
        <f>10^(3.998-0.0101*Dados!I418-0.0152*Dados!J418-1.163*Dados!K418)</f>
        <v>69.119924872490927</v>
      </c>
    </row>
    <row r="419" spans="2:6" x14ac:dyDescent="0.25">
      <c r="B419" s="30">
        <v>417</v>
      </c>
      <c r="C419" s="31">
        <f>10^(2.039-0.00874*Dados!I419-0.00723*Dados!J419)</f>
        <v>20.863993767582997</v>
      </c>
      <c r="E419" s="30">
        <v>417</v>
      </c>
      <c r="F419" s="28">
        <f>10^(3.998-0.0101*Dados!I419-0.0152*Dados!J419-1.163*Dados!K419)</f>
        <v>48.760524033077402</v>
      </c>
    </row>
    <row r="420" spans="2:6" x14ac:dyDescent="0.25">
      <c r="B420" s="30">
        <v>418</v>
      </c>
      <c r="C420" s="31">
        <f>10^(2.039-0.00874*Dados!I420-0.00723*Dados!J420)</f>
        <v>23.097086394726208</v>
      </c>
      <c r="E420" s="30">
        <v>418</v>
      </c>
      <c r="F420" s="28">
        <f>10^(3.998-0.0101*Dados!I420-0.0152*Dados!J420-1.163*Dados!K420)</f>
        <v>56.969201690420213</v>
      </c>
    </row>
    <row r="421" spans="2:6" x14ac:dyDescent="0.25">
      <c r="B421" s="30">
        <v>419</v>
      </c>
      <c r="C421" s="31">
        <f>10^(2.039-0.00874*Dados!I421-0.00723*Dados!J421)</f>
        <v>22.550482851119018</v>
      </c>
      <c r="E421" s="30">
        <v>419</v>
      </c>
      <c r="F421" s="28">
        <f>10^(3.998-0.0101*Dados!I421-0.0152*Dados!J421-1.163*Dados!K421)</f>
        <v>21.587750887460029</v>
      </c>
    </row>
    <row r="422" spans="2:6" x14ac:dyDescent="0.25">
      <c r="B422" s="30">
        <v>420</v>
      </c>
      <c r="C422" s="31">
        <f>10^(2.039-0.00874*Dados!I422-0.00723*Dados!J422)</f>
        <v>21.914781903008343</v>
      </c>
      <c r="E422" s="30">
        <v>420</v>
      </c>
      <c r="F422" s="28">
        <f>10^(3.998-0.0101*Dados!I422-0.0152*Dados!J422-1.163*Dados!K422)</f>
        <v>26.792141159772068</v>
      </c>
    </row>
    <row r="423" spans="2:6" x14ac:dyDescent="0.25">
      <c r="B423" s="30">
        <v>421</v>
      </c>
      <c r="C423" s="31">
        <f>10^(2.039-0.00874*Dados!I423-0.00723*Dados!J423)</f>
        <v>20.10397058239959</v>
      </c>
      <c r="E423" s="30">
        <v>421</v>
      </c>
      <c r="F423" s="28">
        <f>10^(3.998-0.0101*Dados!I423-0.0152*Dados!J423-1.163*Dados!K423)</f>
        <v>23.720826906086618</v>
      </c>
    </row>
    <row r="424" spans="2:6" x14ac:dyDescent="0.25">
      <c r="B424" s="30">
        <v>422</v>
      </c>
      <c r="C424" s="31">
        <f>10^(2.039-0.00874*Dados!I424-0.00723*Dados!J424)</f>
        <v>21.005071751581113</v>
      </c>
      <c r="E424" s="30">
        <v>422</v>
      </c>
      <c r="F424" s="28">
        <f>10^(3.998-0.0101*Dados!I424-0.0152*Dados!J424-1.163*Dados!K424)</f>
        <v>47.610017914736424</v>
      </c>
    </row>
    <row r="425" spans="2:6" x14ac:dyDescent="0.25">
      <c r="B425" s="30">
        <v>423</v>
      </c>
      <c r="C425" s="31">
        <f>10^(2.039-0.00874*Dados!I425-0.00723*Dados!J425)</f>
        <v>21.855936658272913</v>
      </c>
      <c r="E425" s="30">
        <v>423</v>
      </c>
      <c r="F425" s="28">
        <f>10^(3.998-0.0101*Dados!I425-0.0152*Dados!J425-1.163*Dados!K425)</f>
        <v>29.645348742364174</v>
      </c>
    </row>
    <row r="426" spans="2:6" x14ac:dyDescent="0.25">
      <c r="B426" s="30">
        <v>424</v>
      </c>
      <c r="C426" s="31">
        <f>10^(2.039-0.00874*Dados!I426-0.00723*Dados!J426)</f>
        <v>24.266603566618834</v>
      </c>
      <c r="E426" s="30">
        <v>424</v>
      </c>
      <c r="F426" s="28">
        <f>10^(3.998-0.0101*Dados!I426-0.0152*Dados!J426-1.163*Dados!K426)</f>
        <v>55.447878942275992</v>
      </c>
    </row>
    <row r="427" spans="2:6" x14ac:dyDescent="0.25">
      <c r="B427" s="30">
        <v>425</v>
      </c>
      <c r="C427" s="31">
        <f>10^(2.039-0.00874*Dados!I427-0.00723*Dados!J427)</f>
        <v>31.74963314923054</v>
      </c>
      <c r="E427" s="30">
        <v>425</v>
      </c>
      <c r="F427" s="28">
        <f>10^(3.998-0.0101*Dados!I427-0.0152*Dados!J427-1.163*Dados!K427)</f>
        <v>38.835989713506095</v>
      </c>
    </row>
    <row r="428" spans="2:6" x14ac:dyDescent="0.25">
      <c r="B428" s="30">
        <v>426</v>
      </c>
      <c r="C428" s="31">
        <f>10^(2.039-0.00874*Dados!I428-0.00723*Dados!J428)</f>
        <v>27.44475456084777</v>
      </c>
      <c r="E428" s="30">
        <v>426</v>
      </c>
      <c r="F428" s="28">
        <f>10^(3.998-0.0101*Dados!I428-0.0152*Dados!J428-1.163*Dados!K428)</f>
        <v>43.746862266103832</v>
      </c>
    </row>
    <row r="429" spans="2:6" x14ac:dyDescent="0.25">
      <c r="B429" s="30">
        <v>427</v>
      </c>
      <c r="C429" s="31">
        <f>10^(2.039-0.00874*Dados!I429-0.00723*Dados!J429)</f>
        <v>42.02553098683515</v>
      </c>
      <c r="E429" s="30">
        <v>427</v>
      </c>
      <c r="F429" s="28">
        <f>10^(3.998-0.0101*Dados!I429-0.0152*Dados!J429-1.163*Dados!K429)</f>
        <v>63.769309173977476</v>
      </c>
    </row>
    <row r="430" spans="2:6" x14ac:dyDescent="0.25">
      <c r="B430" s="30">
        <v>428</v>
      </c>
      <c r="C430" s="31">
        <f>10^(2.039-0.00874*Dados!I430-0.00723*Dados!J430)</f>
        <v>26.169128328646806</v>
      </c>
      <c r="E430" s="30">
        <v>428</v>
      </c>
      <c r="F430" s="28">
        <f>10^(3.998-0.0101*Dados!I430-0.0152*Dados!J430-1.163*Dados!K430)</f>
        <v>87.265787765846696</v>
      </c>
    </row>
    <row r="431" spans="2:6" x14ac:dyDescent="0.25">
      <c r="B431" s="30">
        <v>429</v>
      </c>
      <c r="C431" s="31">
        <f>10^(2.039-0.00874*Dados!I431-0.00723*Dados!J431)</f>
        <v>33.993929234608217</v>
      </c>
      <c r="E431" s="30">
        <v>429</v>
      </c>
      <c r="F431" s="28">
        <f>10^(3.998-0.0101*Dados!I431-0.0152*Dados!J431-1.163*Dados!K431)</f>
        <v>78.822601401680799</v>
      </c>
    </row>
    <row r="432" spans="2:6" x14ac:dyDescent="0.25">
      <c r="B432" s="30">
        <v>430</v>
      </c>
      <c r="C432" s="31">
        <f>10^(2.039-0.00874*Dados!I432-0.00723*Dados!J432)</f>
        <v>23.831544658146985</v>
      </c>
      <c r="E432" s="30">
        <v>430</v>
      </c>
      <c r="F432" s="28">
        <f>10^(3.998-0.0101*Dados!I432-0.0152*Dados!J432-1.163*Dados!K432)</f>
        <v>93.120004450893589</v>
      </c>
    </row>
    <row r="433" spans="2:6" x14ac:dyDescent="0.25">
      <c r="B433" s="30">
        <v>431</v>
      </c>
      <c r="C433" s="31">
        <f>10^(2.039-0.00874*Dados!I433-0.00723*Dados!J433)</f>
        <v>25.446493991398775</v>
      </c>
      <c r="E433" s="30">
        <v>431</v>
      </c>
      <c r="F433" s="28">
        <f>10^(3.998-0.0101*Dados!I433-0.0152*Dados!J433-1.163*Dados!K433)</f>
        <v>55.465147994782221</v>
      </c>
    </row>
    <row r="434" spans="2:6" x14ac:dyDescent="0.25">
      <c r="B434" s="30">
        <v>432</v>
      </c>
      <c r="C434" s="31">
        <f>10^(2.039-0.00874*Dados!I434-0.00723*Dados!J434)</f>
        <v>21.196224621475292</v>
      </c>
      <c r="E434" s="30">
        <v>432</v>
      </c>
      <c r="F434" s="28">
        <f>10^(3.998-0.0101*Dados!I434-0.0152*Dados!J434-1.163*Dados!K434)</f>
        <v>56.013105266508994</v>
      </c>
    </row>
    <row r="435" spans="2:6" x14ac:dyDescent="0.25">
      <c r="B435" s="30">
        <v>433</v>
      </c>
      <c r="C435" s="31">
        <f>10^(2.039-0.00874*Dados!I435-0.00723*Dados!J435)</f>
        <v>25.445835655112493</v>
      </c>
      <c r="E435" s="30">
        <v>433</v>
      </c>
      <c r="F435" s="28">
        <f>10^(3.998-0.0101*Dados!I435-0.0152*Dados!J435-1.163*Dados!K435)</f>
        <v>42.098474285726823</v>
      </c>
    </row>
    <row r="436" spans="2:6" x14ac:dyDescent="0.25">
      <c r="B436" s="30">
        <v>434</v>
      </c>
      <c r="C436" s="31">
        <f>10^(2.039-0.00874*Dados!I436-0.00723*Dados!J436)</f>
        <v>25.01529426124867</v>
      </c>
      <c r="E436" s="30">
        <v>434</v>
      </c>
      <c r="F436" s="28">
        <f>10^(3.998-0.0101*Dados!I436-0.0152*Dados!J436-1.163*Dados!K436)</f>
        <v>69.37895266205571</v>
      </c>
    </row>
    <row r="437" spans="2:6" x14ac:dyDescent="0.25">
      <c r="B437" s="30">
        <v>435</v>
      </c>
      <c r="C437" s="31">
        <f>10^(2.039-0.00874*Dados!I437-0.00723*Dados!J437)</f>
        <v>29.308992795321409</v>
      </c>
      <c r="E437" s="30">
        <v>435</v>
      </c>
      <c r="F437" s="28">
        <f>10^(3.998-0.0101*Dados!I437-0.0152*Dados!J437-1.163*Dados!K437)</f>
        <v>35.052729178476987</v>
      </c>
    </row>
    <row r="438" spans="2:6" x14ac:dyDescent="0.25">
      <c r="B438" s="30">
        <v>436</v>
      </c>
      <c r="C438" s="31">
        <f>10^(2.039-0.00874*Dados!I438-0.00723*Dados!J438)</f>
        <v>26.81998770424034</v>
      </c>
      <c r="E438" s="30">
        <v>436</v>
      </c>
      <c r="F438" s="28">
        <f>10^(3.998-0.0101*Dados!I438-0.0152*Dados!J438-1.163*Dados!K438)</f>
        <v>56.33951364466693</v>
      </c>
    </row>
    <row r="439" spans="2:6" x14ac:dyDescent="0.25">
      <c r="B439" s="30">
        <v>437</v>
      </c>
      <c r="C439" s="31">
        <f>10^(2.039-0.00874*Dados!I439-0.00723*Dados!J439)</f>
        <v>31.778557542746199</v>
      </c>
      <c r="E439" s="30">
        <v>437</v>
      </c>
      <c r="F439" s="28">
        <f>10^(3.998-0.0101*Dados!I439-0.0152*Dados!J439-1.163*Dados!K439)</f>
        <v>91.073746690190021</v>
      </c>
    </row>
    <row r="440" spans="2:6" x14ac:dyDescent="0.25">
      <c r="B440" s="30">
        <v>438</v>
      </c>
      <c r="C440" s="31">
        <f>10^(2.039-0.00874*Dados!I440-0.00723*Dados!J440)</f>
        <v>23.948572987500832</v>
      </c>
      <c r="E440" s="30">
        <v>438</v>
      </c>
      <c r="F440" s="28">
        <f>10^(3.998-0.0101*Dados!I440-0.0152*Dados!J440-1.163*Dados!K440)</f>
        <v>98.297913567988701</v>
      </c>
    </row>
    <row r="441" spans="2:6" x14ac:dyDescent="0.25">
      <c r="B441" s="30">
        <v>439</v>
      </c>
      <c r="C441" s="31">
        <f>10^(2.039-0.00874*Dados!I441-0.00723*Dados!J441)</f>
        <v>31.192409163795098</v>
      </c>
      <c r="E441" s="30">
        <v>439</v>
      </c>
      <c r="F441" s="28">
        <f>10^(3.998-0.0101*Dados!I441-0.0152*Dados!J441-1.163*Dados!K441)</f>
        <v>51.068180644862487</v>
      </c>
    </row>
    <row r="442" spans="2:6" x14ac:dyDescent="0.25">
      <c r="B442" s="30">
        <v>440</v>
      </c>
      <c r="C442" s="31">
        <f>10^(2.039-0.00874*Dados!I442-0.00723*Dados!J442)</f>
        <v>28.042008451805479</v>
      </c>
      <c r="E442" s="30">
        <v>440</v>
      </c>
      <c r="F442" s="28">
        <f>10^(3.998-0.0101*Dados!I442-0.0152*Dados!J442-1.163*Dados!K442)</f>
        <v>62.705691696123239</v>
      </c>
    </row>
    <row r="443" spans="2:6" x14ac:dyDescent="0.25">
      <c r="B443" s="30">
        <v>441</v>
      </c>
      <c r="C443" s="31">
        <f>10^(2.039-0.00874*Dados!I443-0.00723*Dados!J443)</f>
        <v>33.757592170588417</v>
      </c>
      <c r="E443" s="30">
        <v>441</v>
      </c>
      <c r="F443" s="28">
        <f>10^(3.998-0.0101*Dados!I443-0.0152*Dados!J443-1.163*Dados!K443)</f>
        <v>46.887271414037556</v>
      </c>
    </row>
    <row r="444" spans="2:6" x14ac:dyDescent="0.25">
      <c r="B444" s="30">
        <v>442</v>
      </c>
      <c r="C444" s="31">
        <f>10^(2.039-0.00874*Dados!I444-0.00723*Dados!J444)</f>
        <v>27.136503381659974</v>
      </c>
      <c r="E444" s="30">
        <v>442</v>
      </c>
      <c r="F444" s="28">
        <f>10^(3.998-0.0101*Dados!I444-0.0152*Dados!J444-1.163*Dados!K444)</f>
        <v>147.42448267019259</v>
      </c>
    </row>
    <row r="445" spans="2:6" x14ac:dyDescent="0.25">
      <c r="B445" s="30">
        <v>443</v>
      </c>
      <c r="C445" s="31">
        <f>10^(2.039-0.00874*Dados!I445-0.00723*Dados!J445)</f>
        <v>33.425309831776445</v>
      </c>
      <c r="E445" s="30">
        <v>443</v>
      </c>
      <c r="F445" s="28">
        <f>10^(3.998-0.0101*Dados!I445-0.0152*Dados!J445-1.163*Dados!K445)</f>
        <v>103.11354033107135</v>
      </c>
    </row>
    <row r="446" spans="2:6" x14ac:dyDescent="0.25">
      <c r="B446" s="30">
        <v>444</v>
      </c>
      <c r="C446" s="31">
        <f>10^(2.039-0.00874*Dados!I446-0.00723*Dados!J446)</f>
        <v>23.309902455393853</v>
      </c>
      <c r="E446" s="30">
        <v>444</v>
      </c>
      <c r="F446" s="28">
        <f>10^(3.998-0.0101*Dados!I446-0.0152*Dados!J446-1.163*Dados!K446)</f>
        <v>85.917426654942147</v>
      </c>
    </row>
    <row r="447" spans="2:6" x14ac:dyDescent="0.25">
      <c r="B447" s="30">
        <v>445</v>
      </c>
      <c r="C447" s="31">
        <f>10^(2.039-0.00874*Dados!I447-0.00723*Dados!J447)</f>
        <v>31.751991734236142</v>
      </c>
      <c r="E447" s="30">
        <v>445</v>
      </c>
      <c r="F447" s="28">
        <f>10^(3.998-0.0101*Dados!I447-0.0152*Dados!J447-1.163*Dados!K447)</f>
        <v>37.317041530285891</v>
      </c>
    </row>
    <row r="448" spans="2:6" x14ac:dyDescent="0.25">
      <c r="B448" s="30">
        <v>446</v>
      </c>
      <c r="C448" s="31">
        <f>10^(2.039-0.00874*Dados!I448-0.00723*Dados!J448)</f>
        <v>24.725906642229216</v>
      </c>
      <c r="E448" s="30">
        <v>446</v>
      </c>
      <c r="F448" s="28">
        <f>10^(3.998-0.0101*Dados!I448-0.0152*Dados!J448-1.163*Dados!K448)</f>
        <v>70.994142016399223</v>
      </c>
    </row>
    <row r="449" spans="2:6" x14ac:dyDescent="0.25">
      <c r="B449" s="30">
        <v>447</v>
      </c>
      <c r="C449" s="31">
        <f>10^(2.039-0.00874*Dados!I449-0.00723*Dados!J449)</f>
        <v>31.514472784562383</v>
      </c>
      <c r="E449" s="30">
        <v>447</v>
      </c>
      <c r="F449" s="28">
        <f>10^(3.998-0.0101*Dados!I449-0.0152*Dados!J449-1.163*Dados!K449)</f>
        <v>82.00521122470191</v>
      </c>
    </row>
    <row r="450" spans="2:6" x14ac:dyDescent="0.25">
      <c r="B450" s="30">
        <v>448</v>
      </c>
      <c r="C450" s="31">
        <f>10^(2.039-0.00874*Dados!I450-0.00723*Dados!J450)</f>
        <v>35.020224183993264</v>
      </c>
      <c r="E450" s="30">
        <v>448</v>
      </c>
      <c r="F450" s="28">
        <f>10^(3.998-0.0101*Dados!I450-0.0152*Dados!J450-1.163*Dados!K450)</f>
        <v>39.463673042196511</v>
      </c>
    </row>
    <row r="451" spans="2:6" x14ac:dyDescent="0.25">
      <c r="B451" s="30">
        <v>449</v>
      </c>
      <c r="C451" s="31">
        <f>10^(2.039-0.00874*Dados!I451-0.00723*Dados!J451)</f>
        <v>28.211035203861126</v>
      </c>
      <c r="E451" s="30">
        <v>449</v>
      </c>
      <c r="F451" s="28">
        <f>10^(3.998-0.0101*Dados!I451-0.0152*Dados!J451-1.163*Dados!K451)</f>
        <v>26.043215280713067</v>
      </c>
    </row>
    <row r="452" spans="2:6" x14ac:dyDescent="0.25">
      <c r="B452" s="30">
        <v>450</v>
      </c>
      <c r="C452" s="31">
        <f>10^(2.039-0.00874*Dados!I452-0.00723*Dados!J452)</f>
        <v>26.001314279761942</v>
      </c>
      <c r="E452" s="30">
        <v>450</v>
      </c>
      <c r="F452" s="28">
        <f>10^(3.998-0.0101*Dados!I452-0.0152*Dados!J452-1.163*Dados!K452)</f>
        <v>91.795379653388395</v>
      </c>
    </row>
    <row r="453" spans="2:6" x14ac:dyDescent="0.25">
      <c r="B453" s="30">
        <v>451</v>
      </c>
      <c r="C453" s="31">
        <f>10^(2.039-0.00874*Dados!I453-0.00723*Dados!J453)</f>
        <v>27.862088564154188</v>
      </c>
      <c r="E453" s="30">
        <v>451</v>
      </c>
      <c r="F453" s="28">
        <f>10^(3.998-0.0101*Dados!I453-0.0152*Dados!J453-1.163*Dados!K453)</f>
        <v>79.186359081845595</v>
      </c>
    </row>
    <row r="454" spans="2:6" x14ac:dyDescent="0.25">
      <c r="B454" s="30">
        <v>452</v>
      </c>
      <c r="C454" s="31">
        <f>10^(2.039-0.00874*Dados!I454-0.00723*Dados!J454)</f>
        <v>26.694483249757305</v>
      </c>
      <c r="E454" s="30">
        <v>452</v>
      </c>
      <c r="F454" s="28">
        <f>10^(3.998-0.0101*Dados!I454-0.0152*Dados!J454-1.163*Dados!K454)</f>
        <v>94.282190987018453</v>
      </c>
    </row>
    <row r="455" spans="2:6" x14ac:dyDescent="0.25">
      <c r="B455" s="30">
        <v>453</v>
      </c>
      <c r="C455" s="31">
        <f>10^(2.039-0.00874*Dados!I455-0.00723*Dados!J455)</f>
        <v>27.638097944688234</v>
      </c>
      <c r="E455" s="30">
        <v>453</v>
      </c>
      <c r="F455" s="28">
        <f>10^(3.998-0.0101*Dados!I455-0.0152*Dados!J455-1.163*Dados!K455)</f>
        <v>152.13566233952704</v>
      </c>
    </row>
    <row r="456" spans="2:6" x14ac:dyDescent="0.25">
      <c r="B456" s="30">
        <v>454</v>
      </c>
      <c r="C456" s="31">
        <f>10^(2.039-0.00874*Dados!I456-0.00723*Dados!J456)</f>
        <v>23.757121047770866</v>
      </c>
      <c r="E456" s="30">
        <v>454</v>
      </c>
      <c r="F456" s="28">
        <f>10^(3.998-0.0101*Dados!I456-0.0152*Dados!J456-1.163*Dados!K456)</f>
        <v>33.314674148793053</v>
      </c>
    </row>
    <row r="457" spans="2:6" x14ac:dyDescent="0.25">
      <c r="B457" s="30">
        <v>455</v>
      </c>
      <c r="C457" s="31">
        <f>10^(2.039-0.00874*Dados!I457-0.00723*Dados!J457)</f>
        <v>22.027724143048591</v>
      </c>
      <c r="E457" s="30">
        <v>455</v>
      </c>
      <c r="F457" s="28">
        <f>10^(3.998-0.0101*Dados!I457-0.0152*Dados!J457-1.163*Dados!K457)</f>
        <v>34.388357542773257</v>
      </c>
    </row>
    <row r="458" spans="2:6" x14ac:dyDescent="0.25">
      <c r="B458" s="30">
        <v>456</v>
      </c>
      <c r="C458" s="31" t="e">
        <f>10^(2.039-0.00874*Dados!#REF!-0.00723*Dados!#REF!)</f>
        <v>#REF!</v>
      </c>
      <c r="E458" s="30">
        <v>456</v>
      </c>
      <c r="F458" s="28" t="e">
        <f>10^(3.998-0.0101*Dados!#REF!-0.0152*Dados!#REF!-1.163*Dados!#REF!)</f>
        <v>#REF!</v>
      </c>
    </row>
    <row r="459" spans="2:6" x14ac:dyDescent="0.25">
      <c r="B459" s="30">
        <v>457</v>
      </c>
      <c r="C459" s="31">
        <f>10^(2.039-0.00874*Dados!I458-0.00723*Dados!J458)</f>
        <v>22.183475724335654</v>
      </c>
      <c r="E459" s="30">
        <v>457</v>
      </c>
      <c r="F459" s="28">
        <f>10^(3.998-0.0101*Dados!I458-0.0152*Dados!J458-1.163*Dados!K458)</f>
        <v>26.048083146211781</v>
      </c>
    </row>
    <row r="460" spans="2:6" x14ac:dyDescent="0.25">
      <c r="B460" s="30">
        <v>458</v>
      </c>
      <c r="C460" s="31">
        <f>10^(2.039-0.00874*Dados!I459-0.00723*Dados!J459)</f>
        <v>24.037088989850325</v>
      </c>
      <c r="E460" s="30">
        <v>458</v>
      </c>
      <c r="F460" s="28">
        <f>10^(3.998-0.0101*Dados!I459-0.0152*Dados!J459-1.163*Dados!K459)</f>
        <v>68.449555875398104</v>
      </c>
    </row>
    <row r="461" spans="2:6" x14ac:dyDescent="0.25">
      <c r="B461" s="30">
        <v>459</v>
      </c>
      <c r="C461" s="31">
        <f>10^(2.039-0.00874*Dados!I460-0.00723*Dados!J460)</f>
        <v>23.618946888687979</v>
      </c>
      <c r="E461" s="30">
        <v>459</v>
      </c>
      <c r="F461" s="28">
        <f>10^(3.998-0.0101*Dados!I460-0.0152*Dados!J460-1.163*Dados!K460)</f>
        <v>31.317015930162782</v>
      </c>
    </row>
    <row r="462" spans="2:6" x14ac:dyDescent="0.25">
      <c r="B462" s="30">
        <v>460</v>
      </c>
      <c r="C462" s="31">
        <f>10^(2.039-0.00874*Dados!I461-0.00723*Dados!J461)</f>
        <v>20.896915081235051</v>
      </c>
      <c r="E462" s="30">
        <v>460</v>
      </c>
      <c r="F462" s="28">
        <f>10^(3.998-0.0101*Dados!I461-0.0152*Dados!J461-1.163*Dados!K461)</f>
        <v>38.406521253861207</v>
      </c>
    </row>
    <row r="463" spans="2:6" x14ac:dyDescent="0.25">
      <c r="B463" s="30">
        <v>461</v>
      </c>
      <c r="C463" s="31">
        <f>10^(2.039-0.00874*Dados!I462-0.00723*Dados!J462)</f>
        <v>20.886262043709824</v>
      </c>
      <c r="E463" s="30">
        <v>461</v>
      </c>
      <c r="F463" s="28">
        <f>10^(3.998-0.0101*Dados!I462-0.0152*Dados!J462-1.163*Dados!K462)</f>
        <v>36.901451879962927</v>
      </c>
    </row>
    <row r="464" spans="2:6" x14ac:dyDescent="0.25">
      <c r="B464" s="30">
        <v>462</v>
      </c>
      <c r="C464" s="31">
        <f>10^(2.039-0.00874*Dados!I463-0.00723*Dados!J463)</f>
        <v>20.552175547413778</v>
      </c>
      <c r="E464" s="30">
        <v>462</v>
      </c>
      <c r="F464" s="28">
        <f>10^(3.998-0.0101*Dados!I463-0.0152*Dados!J463-1.163*Dados!K463)</f>
        <v>43.827273221161498</v>
      </c>
    </row>
    <row r="465" spans="2:6" x14ac:dyDescent="0.25">
      <c r="B465" s="30">
        <v>463</v>
      </c>
      <c r="C465" s="31">
        <f>10^(2.039-0.00874*Dados!I464-0.00723*Dados!J464)</f>
        <v>21.747369943506808</v>
      </c>
      <c r="E465" s="30">
        <v>463</v>
      </c>
      <c r="F465" s="28">
        <f>10^(3.998-0.0101*Dados!I464-0.0152*Dados!J464-1.163*Dados!K464)</f>
        <v>39.373993952163069</v>
      </c>
    </row>
    <row r="466" spans="2:6" x14ac:dyDescent="0.25">
      <c r="B466" s="30">
        <v>464</v>
      </c>
      <c r="C466" s="31">
        <f>10^(2.039-0.00874*Dados!I465-0.00723*Dados!J465)</f>
        <v>21.629933481789735</v>
      </c>
      <c r="E466" s="30">
        <v>464</v>
      </c>
      <c r="F466" s="28">
        <f>10^(3.998-0.0101*Dados!I465-0.0152*Dados!J465-1.163*Dados!K465)</f>
        <v>23.161219704197915</v>
      </c>
    </row>
    <row r="467" spans="2:6" x14ac:dyDescent="0.25">
      <c r="B467" s="30">
        <v>465</v>
      </c>
      <c r="C467" s="31">
        <f>10^(2.039-0.00874*Dados!I466-0.00723*Dados!J466)</f>
        <v>21.100401590167866</v>
      </c>
      <c r="E467" s="30">
        <v>465</v>
      </c>
      <c r="F467" s="28">
        <f>10^(3.998-0.0101*Dados!I466-0.0152*Dados!J466-1.163*Dados!K466)</f>
        <v>24.165477647113317</v>
      </c>
    </row>
    <row r="468" spans="2:6" x14ac:dyDescent="0.25">
      <c r="B468" s="30">
        <v>466</v>
      </c>
      <c r="C468" s="31">
        <f>10^(2.039-0.00874*Dados!I467-0.00723*Dados!J467)</f>
        <v>22.475440279502845</v>
      </c>
      <c r="E468" s="30">
        <v>466</v>
      </c>
      <c r="F468" s="28">
        <f>10^(3.998-0.0101*Dados!I467-0.0152*Dados!J467-1.163*Dados!K467)</f>
        <v>49.95315916685994</v>
      </c>
    </row>
    <row r="469" spans="2:6" x14ac:dyDescent="0.25">
      <c r="B469" s="30">
        <v>467</v>
      </c>
      <c r="C469" s="31">
        <f>10^(2.039-0.00874*Dados!I468-0.00723*Dados!J468)</f>
        <v>22.711935491676829</v>
      </c>
      <c r="E469" s="30">
        <v>467</v>
      </c>
      <c r="F469" s="28">
        <f>10^(3.998-0.0101*Dados!I468-0.0152*Dados!J468-1.163*Dados!K468)</f>
        <v>36.351063097830504</v>
      </c>
    </row>
    <row r="470" spans="2:6" x14ac:dyDescent="0.25">
      <c r="B470" s="30">
        <v>468</v>
      </c>
      <c r="C470" s="31">
        <f>10^(2.039-0.00874*Dados!I469-0.00723*Dados!J469)</f>
        <v>22.394580921169979</v>
      </c>
      <c r="E470" s="30">
        <v>468</v>
      </c>
      <c r="F470" s="28">
        <f>10^(3.998-0.0101*Dados!I469-0.0152*Dados!J469-1.163*Dados!K469)</f>
        <v>35.763152140431771</v>
      </c>
    </row>
    <row r="471" spans="2:6" x14ac:dyDescent="0.25">
      <c r="B471" s="30">
        <v>469</v>
      </c>
      <c r="C471" s="31">
        <f>10^(2.039-0.00874*Dados!I470-0.00723*Dados!J470)</f>
        <v>24.437098011000742</v>
      </c>
      <c r="E471" s="30">
        <v>469</v>
      </c>
      <c r="F471" s="28">
        <f>10^(3.998-0.0101*Dados!I470-0.0152*Dados!J470-1.163*Dados!K470)</f>
        <v>52.815900729755647</v>
      </c>
    </row>
    <row r="472" spans="2:6" x14ac:dyDescent="0.25">
      <c r="B472" s="30">
        <v>470</v>
      </c>
      <c r="C472" s="31">
        <f>10^(2.039-0.00874*Dados!I471-0.00723*Dados!J471)</f>
        <v>19.251195804993245</v>
      </c>
      <c r="E472" s="30">
        <v>470</v>
      </c>
      <c r="F472" s="28">
        <f>10^(3.998-0.0101*Dados!I471-0.0152*Dados!J471-1.163*Dados!K471)</f>
        <v>51.831539403632327</v>
      </c>
    </row>
    <row r="473" spans="2:6" x14ac:dyDescent="0.25">
      <c r="B473" s="30">
        <v>471</v>
      </c>
      <c r="C473" s="31">
        <f>10^(2.039-0.00874*Dados!I472-0.00723*Dados!J472)</f>
        <v>20.820076232900636</v>
      </c>
      <c r="E473" s="30">
        <v>471</v>
      </c>
      <c r="F473" s="28">
        <f>10^(3.998-0.0101*Dados!I472-0.0152*Dados!J472-1.163*Dados!K472)</f>
        <v>39.9588117690231</v>
      </c>
    </row>
    <row r="474" spans="2:6" x14ac:dyDescent="0.25">
      <c r="B474" s="30">
        <v>472</v>
      </c>
      <c r="C474" s="31">
        <f>10^(2.039-0.00874*Dados!I473-0.00723*Dados!J473)</f>
        <v>21.108181409498041</v>
      </c>
      <c r="E474" s="30">
        <v>472</v>
      </c>
      <c r="F474" s="28">
        <f>10^(3.998-0.0101*Dados!I473-0.0152*Dados!J473-1.163*Dados!K473)</f>
        <v>46.771134041406093</v>
      </c>
    </row>
    <row r="475" spans="2:6" x14ac:dyDescent="0.25">
      <c r="B475" s="30">
        <v>473</v>
      </c>
      <c r="C475" s="31">
        <f>10^(2.039-0.00874*Dados!I474-0.00723*Dados!J474)</f>
        <v>22.063064494371989</v>
      </c>
      <c r="E475" s="30">
        <v>473</v>
      </c>
      <c r="F475" s="28">
        <f>10^(3.998-0.0101*Dados!I474-0.0152*Dados!J474-1.163*Dados!K474)</f>
        <v>48.544141757837444</v>
      </c>
    </row>
    <row r="476" spans="2:6" x14ac:dyDescent="0.25">
      <c r="B476" s="30">
        <v>474</v>
      </c>
      <c r="C476" s="31">
        <f>10^(2.039-0.00874*Dados!I475-0.00723*Dados!J475)</f>
        <v>23.140937433906483</v>
      </c>
      <c r="E476" s="30">
        <v>474</v>
      </c>
      <c r="F476" s="28">
        <f>10^(3.998-0.0101*Dados!I475-0.0152*Dados!J475-1.163*Dados!K475)</f>
        <v>35.511533890516112</v>
      </c>
    </row>
    <row r="477" spans="2:6" x14ac:dyDescent="0.25">
      <c r="B477" s="30">
        <v>475</v>
      </c>
      <c r="C477" s="31">
        <f>10^(2.039-0.00874*Dados!I476-0.00723*Dados!J476)</f>
        <v>21.300119026978095</v>
      </c>
      <c r="E477" s="30">
        <v>475</v>
      </c>
      <c r="F477" s="28">
        <f>10^(3.998-0.0101*Dados!I476-0.0152*Dados!J476-1.163*Dados!K476)</f>
        <v>36.262394218563465</v>
      </c>
    </row>
    <row r="478" spans="2:6" x14ac:dyDescent="0.25">
      <c r="B478" s="30">
        <v>476</v>
      </c>
      <c r="C478" s="31">
        <f>10^(2.039-0.00874*Dados!I477-0.00723*Dados!J477)</f>
        <v>21.567758905824473</v>
      </c>
      <c r="E478" s="30">
        <v>476</v>
      </c>
      <c r="F478" s="28">
        <f>10^(3.998-0.0101*Dados!I477-0.0152*Dados!J477-1.163*Dados!K477)</f>
        <v>33.626084207093847</v>
      </c>
    </row>
    <row r="479" spans="2:6" x14ac:dyDescent="0.25">
      <c r="B479" s="30">
        <v>477</v>
      </c>
      <c r="C479" s="31">
        <f>10^(2.039-0.00874*Dados!I478-0.00723*Dados!J478)</f>
        <v>23.383742642071791</v>
      </c>
      <c r="E479" s="30">
        <v>477</v>
      </c>
      <c r="F479" s="28">
        <f>10^(3.998-0.0101*Dados!I478-0.0152*Dados!J478-1.163*Dados!K478)</f>
        <v>42.225892663333923</v>
      </c>
    </row>
    <row r="480" spans="2:6" x14ac:dyDescent="0.25">
      <c r="B480" s="30">
        <v>478</v>
      </c>
      <c r="C480" s="31">
        <f>10^(2.039-0.00874*Dados!I479-0.00723*Dados!J479)</f>
        <v>22.89871574175266</v>
      </c>
      <c r="E480" s="30">
        <v>478</v>
      </c>
      <c r="F480" s="28">
        <f>10^(3.998-0.0101*Dados!I479-0.0152*Dados!J479-1.163*Dados!K479)</f>
        <v>45.151425755134476</v>
      </c>
    </row>
    <row r="481" spans="2:6" x14ac:dyDescent="0.25">
      <c r="B481" s="30">
        <v>479</v>
      </c>
      <c r="C481" s="31">
        <f>10^(2.039-0.00874*Dados!I480-0.00723*Dados!J480)</f>
        <v>21.530673294111509</v>
      </c>
      <c r="E481" s="30">
        <v>479</v>
      </c>
      <c r="F481" s="28">
        <f>10^(3.998-0.0101*Dados!I480-0.0152*Dados!J480-1.163*Dados!K480)</f>
        <v>36.616994128888471</v>
      </c>
    </row>
    <row r="482" spans="2:6" x14ac:dyDescent="0.25">
      <c r="B482" s="30">
        <v>480</v>
      </c>
      <c r="C482" s="31">
        <f>10^(2.039-0.00874*Dados!I481-0.00723*Dados!J481)</f>
        <v>22.323753534167082</v>
      </c>
      <c r="E482" s="30">
        <v>480</v>
      </c>
      <c r="F482" s="28">
        <f>10^(3.998-0.0101*Dados!I481-0.0152*Dados!J481-1.163*Dados!K481)</f>
        <v>30.458440917510657</v>
      </c>
    </row>
    <row r="483" spans="2:6" x14ac:dyDescent="0.25">
      <c r="B483" s="30">
        <v>481</v>
      </c>
      <c r="C483" s="31">
        <f>10^(2.039-0.00874*Dados!I482-0.00723*Dados!J482)</f>
        <v>22.202295145674825</v>
      </c>
      <c r="E483" s="30">
        <v>481</v>
      </c>
      <c r="F483" s="28">
        <f>10^(3.998-0.0101*Dados!I482-0.0152*Dados!J482-1.163*Dados!K482)</f>
        <v>46.85306884005248</v>
      </c>
    </row>
    <row r="484" spans="2:6" x14ac:dyDescent="0.25">
      <c r="B484" s="30">
        <v>482</v>
      </c>
      <c r="C484" s="31">
        <f>10^(2.039-0.00874*Dados!I483-0.00723*Dados!J483)</f>
        <v>22.089270240706767</v>
      </c>
      <c r="E484" s="30">
        <v>482</v>
      </c>
      <c r="F484" s="28">
        <f>10^(3.998-0.0101*Dados!I483-0.0152*Dados!J483-1.163*Dados!K483)</f>
        <v>52.442123789666404</v>
      </c>
    </row>
    <row r="485" spans="2:6" x14ac:dyDescent="0.25">
      <c r="B485" s="32">
        <v>483</v>
      </c>
      <c r="C485" s="33">
        <f>10^(2.039-0.00874*Dados!I484-0.00723*Dados!J484)</f>
        <v>20.958572169304215</v>
      </c>
      <c r="E485" s="32">
        <v>483</v>
      </c>
      <c r="F485" s="29">
        <f>10^(3.998-0.0101*Dados!I484-0.0152*Dados!J484-1.163*Dados!K484)</f>
        <v>37.256723656720112</v>
      </c>
    </row>
  </sheetData>
  <mergeCells count="2">
    <mergeCell ref="B1:C1"/>
    <mergeCell ref="E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Estatísticas</vt:lpstr>
      <vt:lpstr>PTFs</vt:lpstr>
      <vt:lpstr>Estatísticas!Estatísticas_dos_Dados_1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2026-03-23T12:02:48Z</dcterms:created>
  <dcterms:modified xsi:type="dcterms:W3CDTF">2026-06-16T13:11:20Z</dcterms:modified>
</cp:coreProperties>
</file>